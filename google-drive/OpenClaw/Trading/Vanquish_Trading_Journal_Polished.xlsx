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rades" sheetId="1" state="visible" r:id="rId1"/>
    <sheet name="Account" sheetId="2" state="visible" r:id="rId2"/>
    <sheet name="Dashboard" sheetId="3" state="visible" r:id="rId3"/>
    <sheet name="Strategies" sheetId="4" state="visible" r:id="rId4"/>
  </sheets>
  <definedNames>
    <definedName name="_xlnm._FilterDatabase" localSheetId="0" hidden="1">'Trades'!$A$1:$AB$5000</definedName>
    <definedName name="_xlnm._FilterDatabase" localSheetId="1" hidden="1">'Account'!$A$1:$K$1000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-$#,##0.00"/>
  </numFmts>
  <fonts count="5">
    <font>
      <name val="Arial"/>
      <color rgb="FF000000"/>
      <sz val="10"/>
      <scheme val="minor"/>
    </font>
    <font>
      <name val="Inherit"/>
      <color theme="1"/>
      <sz val="12"/>
    </font>
    <font>
      <name val="Inherit"/>
      <color theme="1"/>
    </font>
    <font>
      <b val="1"/>
      <color rgb="00FFFFFF"/>
    </font>
    <font>
      <b val="1"/>
      <color rgb="00FFFFFF"/>
      <sz val="16"/>
    </font>
  </fonts>
  <fills count="4">
    <fill>
      <patternFill/>
    </fill>
    <fill>
      <patternFill patternType="lightGray"/>
    </fill>
    <fill>
      <patternFill patternType="solid">
        <fgColor rgb="001E3A5F"/>
      </patternFill>
    </fill>
    <fill>
      <patternFill patternType="solid">
        <fgColor rgb="00E2E8F0"/>
      </patternFill>
    </fill>
  </fills>
  <borders count="2">
    <border/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4" fillId="2" borderId="0" pivotButton="0" quotePrefix="0" xfId="0"/>
    <xf numFmtId="0" fontId="0" fillId="3" borderId="0" pivotButton="0" quotePrefix="0" xfId="0"/>
  </cellXfs>
  <cellStyles count="1">
    <cellStyle name="Normal" xfId="0" builtinId="0"/>
  </cellStyles>
  <dxfs count="5">
    <dxf>
      <fill>
        <patternFill patternType="solid">
          <fgColor rgb="00052E16"/>
        </patternFill>
      </fill>
    </dxf>
    <dxf>
      <fill>
        <patternFill patternType="solid">
          <fgColor rgb="00450A0A"/>
        </patternFill>
      </fill>
    </dxf>
    <dxf>
      <fill>
        <patternFill patternType="solid">
          <fgColor rgb="0014532D"/>
        </patternFill>
      </fill>
    </dxf>
    <dxf>
      <fill>
        <patternFill patternType="solid">
          <fgColor rgb="007C2D12"/>
        </patternFill>
      </fill>
    </dxf>
    <dxf>
      <fill>
        <patternFill patternType="solid">
          <fgColor rgb="0078350F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3" min="1" max="1"/>
    <col width="12" customWidth="1" style="3" min="2" max="2"/>
    <col width="12" customWidth="1" style="3" min="3" max="3"/>
    <col width="10" customWidth="1" style="3" min="4" max="4"/>
    <col width="22" customWidth="1" style="3" min="5" max="5"/>
    <col width="12" customWidth="1" style="3" min="6" max="6"/>
    <col width="12" customWidth="1" style="3" min="7" max="7"/>
    <col width="12" customWidth="1" style="3" min="8" max="8"/>
    <col width="11" customWidth="1" style="3" min="9" max="9"/>
    <col width="12" customWidth="1" style="3" min="10" max="10"/>
    <col width="12" customWidth="1" style="3" min="11" max="11"/>
    <col width="11" customWidth="1" style="3" min="12" max="12"/>
    <col width="11" customWidth="1" style="3" min="13" max="13"/>
    <col width="10" customWidth="1" style="3" min="14" max="14"/>
    <col width="10" customWidth="1" style="3" min="15" max="15"/>
    <col width="10" customWidth="1" style="3" min="16" max="16"/>
    <col width="14" customWidth="1" style="3" min="17" max="17"/>
    <col width="16" customWidth="1" style="3" min="18" max="18"/>
    <col width="15" customWidth="1" style="3" min="19" max="19"/>
    <col width="10" customWidth="1" style="3" min="20" max="20"/>
    <col width="16" customWidth="1" style="3" min="21" max="21"/>
    <col width="18" customWidth="1" style="3" min="22" max="22"/>
    <col width="16" customWidth="1" style="3" min="23" max="23"/>
    <col width="22" customWidth="1" style="3" min="24" max="24"/>
    <col width="24" customWidth="1" style="3" min="25" max="25"/>
    <col width="20" customWidth="1" style="3" min="26" max="26"/>
    <col width="20" customWidth="1" style="3" min="27" max="27"/>
    <col width="28" customWidth="1" style="3" min="28" max="28"/>
  </cols>
  <sheetData>
    <row r="1">
      <c r="A1" s="4" t="inlineStr">
        <is>
          <t>Date</t>
        </is>
      </c>
      <c r="B1" s="4" t="inlineStr">
        <is>
          <t>Session</t>
        </is>
      </c>
      <c r="C1" s="4" t="inlineStr">
        <is>
          <t>Market</t>
        </is>
      </c>
      <c r="D1" s="4" t="inlineStr">
        <is>
          <t>Ticker</t>
        </is>
      </c>
      <c r="E1" s="4" t="inlineStr">
        <is>
          <t>Setup</t>
        </is>
      </c>
      <c r="F1" s="4" t="inlineStr">
        <is>
          <t>Direction</t>
        </is>
      </c>
      <c r="G1" s="4" t="inlineStr">
        <is>
          <t>Entry Price</t>
        </is>
      </c>
      <c r="H1" s="4" t="inlineStr">
        <is>
          <t>Exit Price</t>
        </is>
      </c>
      <c r="I1" s="4" t="inlineStr">
        <is>
          <t>Contracts</t>
        </is>
      </c>
      <c r="J1" s="4" t="inlineStr">
        <is>
          <t>Stop Loss</t>
        </is>
      </c>
      <c r="K1" s="4" t="inlineStr">
        <is>
          <t>Target</t>
        </is>
      </c>
      <c r="L1" s="4" t="inlineStr">
        <is>
          <t>Risk ($)</t>
        </is>
      </c>
      <c r="M1" s="4" t="inlineStr">
        <is>
          <t>P/L ($)</t>
        </is>
      </c>
      <c r="N1" s="4" t="inlineStr">
        <is>
          <t>P/L (R)</t>
        </is>
      </c>
      <c r="O1" s="4" t="inlineStr">
        <is>
          <t>Win/Loss</t>
        </is>
      </c>
      <c r="P1" s="4" t="inlineStr">
        <is>
          <t>Grade</t>
        </is>
      </c>
      <c r="Q1" s="4" t="inlineStr">
        <is>
          <t>Rule Followed</t>
        </is>
      </c>
      <c r="R1" s="4" t="inlineStr">
        <is>
          <t>Emotion Before</t>
        </is>
      </c>
      <c r="S1" s="4" t="inlineStr">
        <is>
          <t>Emotion After</t>
        </is>
      </c>
      <c r="T1" s="4" t="inlineStr">
        <is>
          <t>A+ Setup?</t>
        </is>
      </c>
      <c r="U1" s="4" t="inlineStr">
        <is>
          <t>Mistake Type</t>
        </is>
      </c>
      <c r="V1" s="4" t="inlineStr">
        <is>
          <t>Screenshot Link</t>
        </is>
      </c>
      <c r="W1" s="4" t="inlineStr">
        <is>
          <t>Tags</t>
        </is>
      </c>
      <c r="X1" s="4" t="inlineStr">
        <is>
          <t>What I Saw</t>
        </is>
      </c>
      <c r="Y1" s="4" t="inlineStr">
        <is>
          <t>Why I Took It</t>
        </is>
      </c>
      <c r="Z1" s="4" t="inlineStr">
        <is>
          <t>What I Did Well</t>
        </is>
      </c>
      <c r="AA1" s="4" t="inlineStr">
        <is>
          <t>What To Improve</t>
        </is>
      </c>
      <c r="AB1" s="4" t="inlineStr">
        <is>
          <t>Notes</t>
        </is>
      </c>
    </row>
    <row r="2">
      <c r="A2" s="5" t="n"/>
      <c r="G2" s="6" t="n"/>
      <c r="H2" s="6" t="n"/>
      <c r="J2" s="6" t="n"/>
      <c r="K2" s="6" t="n"/>
      <c r="L2" s="7">
        <f>IF(OR(G2="",J2="",I2=""),"",ABS(G2-J2)*I2)</f>
        <v/>
      </c>
      <c r="M2" s="7">
        <f>IF(OR(G2="",H2="",I2="",F2=""),"",IF(F2="Long",(H2-G2)*I2,(G2-H2)*I2))</f>
        <v/>
      </c>
      <c r="N2" s="6">
        <f>IF(OR(M2="",L2="",L2=0),"",M2/L2)</f>
        <v/>
      </c>
      <c r="O2">
        <f>IF(M2="","",IF(M2&gt;0,"Win",IF(M2&lt;0,"Loss","Scratch")))</f>
        <v/>
      </c>
    </row>
    <row r="3">
      <c r="A3" s="5" t="n"/>
      <c r="G3" s="6" t="n"/>
      <c r="H3" s="6" t="n"/>
      <c r="J3" s="6" t="n"/>
      <c r="K3" s="6" t="n"/>
      <c r="L3" s="7">
        <f>IF(OR(G3="",J3="",I3=""),"",ABS(G3-J3)*I3)</f>
        <v/>
      </c>
      <c r="M3" s="7">
        <f>IF(OR(G3="",H3="",I3="",F3=""),"",IF(F3="Long",(H3-G3)*I3,(G3-H3)*I3))</f>
        <v/>
      </c>
      <c r="N3" s="6">
        <f>IF(OR(M3="",L3="",L3=0),"",M3/L3)</f>
        <v/>
      </c>
      <c r="O3">
        <f>IF(M3="","",IF(M3&gt;0,"Win",IF(M3&lt;0,"Loss","Scratch")))</f>
        <v/>
      </c>
    </row>
    <row r="4">
      <c r="A4" s="5" t="n"/>
      <c r="G4" s="6" t="n"/>
      <c r="H4" s="6" t="n"/>
      <c r="J4" s="6" t="n"/>
      <c r="K4" s="6" t="n"/>
      <c r="L4" s="7">
        <f>IF(OR(G4="",J4="",I4=""),"",ABS(G4-J4)*I4)</f>
        <v/>
      </c>
      <c r="M4" s="7">
        <f>IF(OR(G4="",H4="",I4="",F4=""),"",IF(F4="Long",(H4-G4)*I4,(G4-H4)*I4))</f>
        <v/>
      </c>
      <c r="N4" s="6">
        <f>IF(OR(M4="",L4="",L4=0),"",M4/L4)</f>
        <v/>
      </c>
      <c r="O4">
        <f>IF(M4="","",IF(M4&gt;0,"Win",IF(M4&lt;0,"Loss","Scratch")))</f>
        <v/>
      </c>
    </row>
    <row r="5">
      <c r="A5" s="5" t="n"/>
      <c r="G5" s="6" t="n"/>
      <c r="H5" s="6" t="n"/>
      <c r="J5" s="6" t="n"/>
      <c r="K5" s="6" t="n"/>
      <c r="L5" s="7">
        <f>IF(OR(G5="",J5="",I5=""),"",ABS(G5-J5)*I5)</f>
        <v/>
      </c>
      <c r="M5" s="7">
        <f>IF(OR(G5="",H5="",I5="",F5=""),"",IF(F5="Long",(H5-G5)*I5,(G5-H5)*I5))</f>
        <v/>
      </c>
      <c r="N5" s="6">
        <f>IF(OR(M5="",L5="",L5=0),"",M5/L5)</f>
        <v/>
      </c>
      <c r="O5">
        <f>IF(M5="","",IF(M5&gt;0,"Win",IF(M5&lt;0,"Loss","Scratch")))</f>
        <v/>
      </c>
    </row>
    <row r="6">
      <c r="A6" s="5" t="n"/>
      <c r="G6" s="6" t="n"/>
      <c r="H6" s="6" t="n"/>
      <c r="J6" s="6" t="n"/>
      <c r="K6" s="6" t="n"/>
      <c r="L6" s="7">
        <f>IF(OR(G6="",J6="",I6=""),"",ABS(G6-J6)*I6)</f>
        <v/>
      </c>
      <c r="M6" s="7">
        <f>IF(OR(G6="",H6="",I6="",F6=""),"",IF(F6="Long",(H6-G6)*I6,(G6-H6)*I6))</f>
        <v/>
      </c>
      <c r="N6" s="6">
        <f>IF(OR(M6="",L6="",L6=0),"",M6/L6)</f>
        <v/>
      </c>
      <c r="O6">
        <f>IF(M6="","",IF(M6&gt;0,"Win",IF(M6&lt;0,"Loss","Scratch")))</f>
        <v/>
      </c>
    </row>
    <row r="7">
      <c r="A7" s="5" t="n"/>
      <c r="G7" s="6" t="n"/>
      <c r="H7" s="6" t="n"/>
      <c r="J7" s="6" t="n"/>
      <c r="K7" s="6" t="n"/>
      <c r="L7" s="7">
        <f>IF(OR(G7="",J7="",I7=""),"",ABS(G7-J7)*I7)</f>
        <v/>
      </c>
      <c r="M7" s="7">
        <f>IF(OR(G7="",H7="",I7="",F7=""),"",IF(F7="Long",(H7-G7)*I7,(G7-H7)*I7))</f>
        <v/>
      </c>
      <c r="N7" s="6">
        <f>IF(OR(M7="",L7="",L7=0),"",M7/L7)</f>
        <v/>
      </c>
      <c r="O7">
        <f>IF(M7="","",IF(M7&gt;0,"Win",IF(M7&lt;0,"Loss","Scratch")))</f>
        <v/>
      </c>
    </row>
    <row r="8">
      <c r="A8" s="5" t="n"/>
      <c r="G8" s="6" t="n"/>
      <c r="H8" s="6" t="n"/>
      <c r="J8" s="6" t="n"/>
      <c r="K8" s="6" t="n"/>
      <c r="L8" s="7">
        <f>IF(OR(G8="",J8="",I8=""),"",ABS(G8-J8)*I8)</f>
        <v/>
      </c>
      <c r="M8" s="7">
        <f>IF(OR(G8="",H8="",I8="",F8=""),"",IF(F8="Long",(H8-G8)*I8,(G8-H8)*I8))</f>
        <v/>
      </c>
      <c r="N8" s="6">
        <f>IF(OR(M8="",L8="",L8=0),"",M8/L8)</f>
        <v/>
      </c>
      <c r="O8">
        <f>IF(M8="","",IF(M8&gt;0,"Win",IF(M8&lt;0,"Loss","Scratch")))</f>
        <v/>
      </c>
    </row>
    <row r="9">
      <c r="A9" s="5" t="n"/>
      <c r="G9" s="6" t="n"/>
      <c r="H9" s="6" t="n"/>
      <c r="J9" s="6" t="n"/>
      <c r="K9" s="6" t="n"/>
      <c r="L9" s="7">
        <f>IF(OR(G9="",J9="",I9=""),"",ABS(G9-J9)*I9)</f>
        <v/>
      </c>
      <c r="M9" s="7">
        <f>IF(OR(G9="",H9="",I9="",F9=""),"",IF(F9="Long",(H9-G9)*I9,(G9-H9)*I9))</f>
        <v/>
      </c>
      <c r="N9" s="6">
        <f>IF(OR(M9="",L9="",L9=0),"",M9/L9)</f>
        <v/>
      </c>
      <c r="O9">
        <f>IF(M9="","",IF(M9&gt;0,"Win",IF(M9&lt;0,"Loss","Scratch")))</f>
        <v/>
      </c>
    </row>
    <row r="10">
      <c r="A10" s="5" t="n"/>
      <c r="G10" s="6" t="n"/>
      <c r="H10" s="6" t="n"/>
      <c r="J10" s="6" t="n"/>
      <c r="K10" s="6" t="n"/>
      <c r="L10" s="7">
        <f>IF(OR(G10="",J10="",I10=""),"",ABS(G10-J10)*I10)</f>
        <v/>
      </c>
      <c r="M10" s="7">
        <f>IF(OR(G10="",H10="",I10="",F10=""),"",IF(F10="Long",(H10-G10)*I10,(G10-H10)*I10))</f>
        <v/>
      </c>
      <c r="N10" s="6">
        <f>IF(OR(M10="",L10="",L10=0),"",M10/L10)</f>
        <v/>
      </c>
      <c r="O10">
        <f>IF(M10="","",IF(M10&gt;0,"Win",IF(M10&lt;0,"Loss","Scratch")))</f>
        <v/>
      </c>
    </row>
    <row r="11">
      <c r="A11" s="5" t="n"/>
      <c r="G11" s="6" t="n"/>
      <c r="H11" s="6" t="n"/>
      <c r="J11" s="6" t="n"/>
      <c r="K11" s="6" t="n"/>
      <c r="L11" s="7">
        <f>IF(OR(G11="",J11="",I11=""),"",ABS(G11-J11)*I11)</f>
        <v/>
      </c>
      <c r="M11" s="7">
        <f>IF(OR(G11="",H11="",I11="",F11=""),"",IF(F11="Long",(H11-G11)*I11,(G11-H11)*I11))</f>
        <v/>
      </c>
      <c r="N11" s="6">
        <f>IF(OR(M11="",L11="",L11=0),"",M11/L11)</f>
        <v/>
      </c>
      <c r="O11">
        <f>IF(M11="","",IF(M11&gt;0,"Win",IF(M11&lt;0,"Loss","Scratch")))</f>
        <v/>
      </c>
    </row>
    <row r="12">
      <c r="A12" s="5" t="n"/>
      <c r="G12" s="6" t="n"/>
      <c r="H12" s="6" t="n"/>
      <c r="J12" s="6" t="n"/>
      <c r="K12" s="6" t="n"/>
      <c r="L12" s="7">
        <f>IF(OR(G12="",J12="",I12=""),"",ABS(G12-J12)*I12)</f>
        <v/>
      </c>
      <c r="M12" s="7">
        <f>IF(OR(G12="",H12="",I12="",F12=""),"",IF(F12="Long",(H12-G12)*I12,(G12-H12)*I12))</f>
        <v/>
      </c>
      <c r="N12" s="6">
        <f>IF(OR(M12="",L12="",L12=0),"",M12/L12)</f>
        <v/>
      </c>
      <c r="O12">
        <f>IF(M12="","",IF(M12&gt;0,"Win",IF(M12&lt;0,"Loss","Scratch")))</f>
        <v/>
      </c>
    </row>
    <row r="13">
      <c r="A13" s="5" t="n"/>
      <c r="G13" s="6" t="n"/>
      <c r="H13" s="6" t="n"/>
      <c r="J13" s="6" t="n"/>
      <c r="K13" s="6" t="n"/>
      <c r="L13" s="7">
        <f>IF(OR(G13="",J13="",I13=""),"",ABS(G13-J13)*I13)</f>
        <v/>
      </c>
      <c r="M13" s="7">
        <f>IF(OR(G13="",H13="",I13="",F13=""),"",IF(F13="Long",(H13-G13)*I13,(G13-H13)*I13))</f>
        <v/>
      </c>
      <c r="N13" s="6">
        <f>IF(OR(M13="",L13="",L13=0),"",M13/L13)</f>
        <v/>
      </c>
      <c r="O13">
        <f>IF(M13="","",IF(M13&gt;0,"Win",IF(M13&lt;0,"Loss","Scratch")))</f>
        <v/>
      </c>
    </row>
    <row r="14">
      <c r="A14" s="5" t="n"/>
      <c r="G14" s="6" t="n"/>
      <c r="H14" s="6" t="n"/>
      <c r="J14" s="6" t="n"/>
      <c r="K14" s="6" t="n"/>
      <c r="L14" s="7">
        <f>IF(OR(G14="",J14="",I14=""),"",ABS(G14-J14)*I14)</f>
        <v/>
      </c>
      <c r="M14" s="7">
        <f>IF(OR(G14="",H14="",I14="",F14=""),"",IF(F14="Long",(H14-G14)*I14,(G14-H14)*I14))</f>
        <v/>
      </c>
      <c r="N14" s="6">
        <f>IF(OR(M14="",L14="",L14=0),"",M14/L14)</f>
        <v/>
      </c>
      <c r="O14">
        <f>IF(M14="","",IF(M14&gt;0,"Win",IF(M14&lt;0,"Loss","Scratch")))</f>
        <v/>
      </c>
    </row>
    <row r="15">
      <c r="A15" s="5" t="n"/>
      <c r="G15" s="6" t="n"/>
      <c r="H15" s="6" t="n"/>
      <c r="J15" s="6" t="n"/>
      <c r="K15" s="6" t="n"/>
      <c r="L15" s="7">
        <f>IF(OR(G15="",J15="",I15=""),"",ABS(G15-J15)*I15)</f>
        <v/>
      </c>
      <c r="M15" s="7">
        <f>IF(OR(G15="",H15="",I15="",F15=""),"",IF(F15="Long",(H15-G15)*I15,(G15-H15)*I15))</f>
        <v/>
      </c>
      <c r="N15" s="6">
        <f>IF(OR(M15="",L15="",L15=0),"",M15/L15)</f>
        <v/>
      </c>
      <c r="O15">
        <f>IF(M15="","",IF(M15&gt;0,"Win",IF(M15&lt;0,"Loss","Scratch")))</f>
        <v/>
      </c>
    </row>
    <row r="16">
      <c r="A16" s="5" t="n"/>
      <c r="G16" s="6" t="n"/>
      <c r="H16" s="6" t="n"/>
      <c r="J16" s="6" t="n"/>
      <c r="K16" s="6" t="n"/>
      <c r="L16" s="7">
        <f>IF(OR(G16="",J16="",I16=""),"",ABS(G16-J16)*I16)</f>
        <v/>
      </c>
      <c r="M16" s="7">
        <f>IF(OR(G16="",H16="",I16="",F16=""),"",IF(F16="Long",(H16-G16)*I16,(G16-H16)*I16))</f>
        <v/>
      </c>
      <c r="N16" s="6">
        <f>IF(OR(M16="",L16="",L16=0),"",M16/L16)</f>
        <v/>
      </c>
      <c r="O16">
        <f>IF(M16="","",IF(M16&gt;0,"Win",IF(M16&lt;0,"Loss","Scratch")))</f>
        <v/>
      </c>
    </row>
    <row r="17">
      <c r="A17" s="5" t="n"/>
      <c r="G17" s="6" t="n"/>
      <c r="H17" s="6" t="n"/>
      <c r="J17" s="6" t="n"/>
      <c r="K17" s="6" t="n"/>
      <c r="L17" s="7">
        <f>IF(OR(G17="",J17="",I17=""),"",ABS(G17-J17)*I17)</f>
        <v/>
      </c>
      <c r="M17" s="7">
        <f>IF(OR(G17="",H17="",I17="",F17=""),"",IF(F17="Long",(H17-G17)*I17,(G17-H17)*I17))</f>
        <v/>
      </c>
      <c r="N17" s="6">
        <f>IF(OR(M17="",L17="",L17=0),"",M17/L17)</f>
        <v/>
      </c>
      <c r="O17">
        <f>IF(M17="","",IF(M17&gt;0,"Win",IF(M17&lt;0,"Loss","Scratch")))</f>
        <v/>
      </c>
    </row>
    <row r="18">
      <c r="A18" s="5" t="n"/>
      <c r="G18" s="6" t="n"/>
      <c r="H18" s="6" t="n"/>
      <c r="J18" s="6" t="n"/>
      <c r="K18" s="6" t="n"/>
      <c r="L18" s="7">
        <f>IF(OR(G18="",J18="",I18=""),"",ABS(G18-J18)*I18)</f>
        <v/>
      </c>
      <c r="M18" s="7">
        <f>IF(OR(G18="",H18="",I18="",F18=""),"",IF(F18="Long",(H18-G18)*I18,(G18-H18)*I18))</f>
        <v/>
      </c>
      <c r="N18" s="6">
        <f>IF(OR(M18="",L18="",L18=0),"",M18/L18)</f>
        <v/>
      </c>
      <c r="O18">
        <f>IF(M18="","",IF(M18&gt;0,"Win",IF(M18&lt;0,"Loss","Scratch")))</f>
        <v/>
      </c>
    </row>
    <row r="19">
      <c r="A19" s="5" t="n"/>
      <c r="G19" s="6" t="n"/>
      <c r="H19" s="6" t="n"/>
      <c r="J19" s="6" t="n"/>
      <c r="K19" s="6" t="n"/>
      <c r="L19" s="7">
        <f>IF(OR(G19="",J19="",I19=""),"",ABS(G19-J19)*I19)</f>
        <v/>
      </c>
      <c r="M19" s="7">
        <f>IF(OR(G19="",H19="",I19="",F19=""),"",IF(F19="Long",(H19-G19)*I19,(G19-H19)*I19))</f>
        <v/>
      </c>
      <c r="N19" s="6">
        <f>IF(OR(M19="",L19="",L19=0),"",M19/L19)</f>
        <v/>
      </c>
      <c r="O19">
        <f>IF(M19="","",IF(M19&gt;0,"Win",IF(M19&lt;0,"Loss","Scratch")))</f>
        <v/>
      </c>
    </row>
    <row r="20">
      <c r="A20" s="5" t="n"/>
      <c r="G20" s="6" t="n"/>
      <c r="H20" s="6" t="n"/>
      <c r="J20" s="6" t="n"/>
      <c r="K20" s="6" t="n"/>
      <c r="L20" s="7">
        <f>IF(OR(G20="",J20="",I20=""),"",ABS(G20-J20)*I20)</f>
        <v/>
      </c>
      <c r="M20" s="7">
        <f>IF(OR(G20="",H20="",I20="",F20=""),"",IF(F20="Long",(H20-G20)*I20,(G20-H20)*I20))</f>
        <v/>
      </c>
      <c r="N20" s="6">
        <f>IF(OR(M20="",L20="",L20=0),"",M20/L20)</f>
        <v/>
      </c>
      <c r="O20">
        <f>IF(M20="","",IF(M20&gt;0,"Win",IF(M20&lt;0,"Loss","Scratch")))</f>
        <v/>
      </c>
    </row>
    <row r="21">
      <c r="A21" s="5" t="n"/>
      <c r="G21" s="6" t="n"/>
      <c r="H21" s="6" t="n"/>
      <c r="J21" s="6" t="n"/>
      <c r="K21" s="6" t="n"/>
      <c r="L21" s="7">
        <f>IF(OR(G21="",J21="",I21=""),"",ABS(G21-J21)*I21)</f>
        <v/>
      </c>
      <c r="M21" s="7">
        <f>IF(OR(G21="",H21="",I21="",F21=""),"",IF(F21="Long",(H21-G21)*I21,(G21-H21)*I21))</f>
        <v/>
      </c>
      <c r="N21" s="6">
        <f>IF(OR(M21="",L21="",L21=0),"",M21/L21)</f>
        <v/>
      </c>
      <c r="O21">
        <f>IF(M21="","",IF(M21&gt;0,"Win",IF(M21&lt;0,"Loss","Scratch")))</f>
        <v/>
      </c>
    </row>
    <row r="22">
      <c r="A22" s="5" t="n"/>
      <c r="G22" s="6" t="n"/>
      <c r="H22" s="6" t="n"/>
      <c r="J22" s="6" t="n"/>
      <c r="K22" s="6" t="n"/>
      <c r="L22" s="7">
        <f>IF(OR(G22="",J22="",I22=""),"",ABS(G22-J22)*I22)</f>
        <v/>
      </c>
      <c r="M22" s="7">
        <f>IF(OR(G22="",H22="",I22="",F22=""),"",IF(F22="Long",(H22-G22)*I22,(G22-H22)*I22))</f>
        <v/>
      </c>
      <c r="N22" s="6">
        <f>IF(OR(M22="",L22="",L22=0),"",M22/L22)</f>
        <v/>
      </c>
      <c r="O22">
        <f>IF(M22="","",IF(M22&gt;0,"Win",IF(M22&lt;0,"Loss","Scratch")))</f>
        <v/>
      </c>
    </row>
    <row r="23">
      <c r="A23" s="5" t="n"/>
      <c r="G23" s="6" t="n"/>
      <c r="H23" s="6" t="n"/>
      <c r="J23" s="6" t="n"/>
      <c r="K23" s="6" t="n"/>
      <c r="L23" s="7">
        <f>IF(OR(G23="",J23="",I23=""),"",ABS(G23-J23)*I23)</f>
        <v/>
      </c>
      <c r="M23" s="7">
        <f>IF(OR(G23="",H23="",I23="",F23=""),"",IF(F23="Long",(H23-G23)*I23,(G23-H23)*I23))</f>
        <v/>
      </c>
      <c r="N23" s="6">
        <f>IF(OR(M23="",L23="",L23=0),"",M23/L23)</f>
        <v/>
      </c>
      <c r="O23">
        <f>IF(M23="","",IF(M23&gt;0,"Win",IF(M23&lt;0,"Loss","Scratch")))</f>
        <v/>
      </c>
    </row>
    <row r="24">
      <c r="A24" s="5" t="n"/>
      <c r="G24" s="6" t="n"/>
      <c r="H24" s="6" t="n"/>
      <c r="J24" s="6" t="n"/>
      <c r="K24" s="6" t="n"/>
      <c r="L24" s="7">
        <f>IF(OR(G24="",J24="",I24=""),"",ABS(G24-J24)*I24)</f>
        <v/>
      </c>
      <c r="M24" s="7">
        <f>IF(OR(G24="",H24="",I24="",F24=""),"",IF(F24="Long",(H24-G24)*I24,(G24-H24)*I24))</f>
        <v/>
      </c>
      <c r="N24" s="6">
        <f>IF(OR(M24="",L24="",L24=0),"",M24/L24)</f>
        <v/>
      </c>
      <c r="O24">
        <f>IF(M24="","",IF(M24&gt;0,"Win",IF(M24&lt;0,"Loss","Scratch")))</f>
        <v/>
      </c>
    </row>
    <row r="25">
      <c r="A25" s="5" t="n"/>
      <c r="G25" s="6" t="n"/>
      <c r="H25" s="6" t="n"/>
      <c r="J25" s="6" t="n"/>
      <c r="K25" s="6" t="n"/>
      <c r="L25" s="7">
        <f>IF(OR(G25="",J25="",I25=""),"",ABS(G25-J25)*I25)</f>
        <v/>
      </c>
      <c r="M25" s="7">
        <f>IF(OR(G25="",H25="",I25="",F25=""),"",IF(F25="Long",(H25-G25)*I25,(G25-H25)*I25))</f>
        <v/>
      </c>
      <c r="N25" s="6">
        <f>IF(OR(M25="",L25="",L25=0),"",M25/L25)</f>
        <v/>
      </c>
      <c r="O25">
        <f>IF(M25="","",IF(M25&gt;0,"Win",IF(M25&lt;0,"Loss","Scratch")))</f>
        <v/>
      </c>
    </row>
    <row r="26">
      <c r="A26" s="5" t="n"/>
      <c r="G26" s="6" t="n"/>
      <c r="H26" s="6" t="n"/>
      <c r="J26" s="6" t="n"/>
      <c r="K26" s="6" t="n"/>
      <c r="L26" s="7">
        <f>IF(OR(G26="",J26="",I26=""),"",ABS(G26-J26)*I26)</f>
        <v/>
      </c>
      <c r="M26" s="7">
        <f>IF(OR(G26="",H26="",I26="",F26=""),"",IF(F26="Long",(H26-G26)*I26,(G26-H26)*I26))</f>
        <v/>
      </c>
      <c r="N26" s="6">
        <f>IF(OR(M26="",L26="",L26=0),"",M26/L26)</f>
        <v/>
      </c>
      <c r="O26">
        <f>IF(M26="","",IF(M26&gt;0,"Win",IF(M26&lt;0,"Loss","Scratch")))</f>
        <v/>
      </c>
    </row>
    <row r="27">
      <c r="A27" s="5" t="n"/>
      <c r="G27" s="6" t="n"/>
      <c r="H27" s="6" t="n"/>
      <c r="J27" s="6" t="n"/>
      <c r="K27" s="6" t="n"/>
      <c r="L27" s="7">
        <f>IF(OR(G27="",J27="",I27=""),"",ABS(G27-J27)*I27)</f>
        <v/>
      </c>
      <c r="M27" s="7">
        <f>IF(OR(G27="",H27="",I27="",F27=""),"",IF(F27="Long",(H27-G27)*I27,(G27-H27)*I27))</f>
        <v/>
      </c>
      <c r="N27" s="6">
        <f>IF(OR(M27="",L27="",L27=0),"",M27/L27)</f>
        <v/>
      </c>
      <c r="O27">
        <f>IF(M27="","",IF(M27&gt;0,"Win",IF(M27&lt;0,"Loss","Scratch")))</f>
        <v/>
      </c>
    </row>
    <row r="28">
      <c r="A28" s="5" t="n"/>
      <c r="G28" s="6" t="n"/>
      <c r="H28" s="6" t="n"/>
      <c r="J28" s="6" t="n"/>
      <c r="K28" s="6" t="n"/>
      <c r="L28" s="7">
        <f>IF(OR(G28="",J28="",I28=""),"",ABS(G28-J28)*I28)</f>
        <v/>
      </c>
      <c r="M28" s="7">
        <f>IF(OR(G28="",H28="",I28="",F28=""),"",IF(F28="Long",(H28-G28)*I28,(G28-H28)*I28))</f>
        <v/>
      </c>
      <c r="N28" s="6">
        <f>IF(OR(M28="",L28="",L28=0),"",M28/L28)</f>
        <v/>
      </c>
      <c r="O28">
        <f>IF(M28="","",IF(M28&gt;0,"Win",IF(M28&lt;0,"Loss","Scratch")))</f>
        <v/>
      </c>
    </row>
    <row r="29">
      <c r="A29" s="5" t="n"/>
      <c r="G29" s="6" t="n"/>
      <c r="H29" s="6" t="n"/>
      <c r="J29" s="6" t="n"/>
      <c r="K29" s="6" t="n"/>
      <c r="L29" s="7">
        <f>IF(OR(G29="",J29="",I29=""),"",ABS(G29-J29)*I29)</f>
        <v/>
      </c>
      <c r="M29" s="7">
        <f>IF(OR(G29="",H29="",I29="",F29=""),"",IF(F29="Long",(H29-G29)*I29,(G29-H29)*I29))</f>
        <v/>
      </c>
      <c r="N29" s="6">
        <f>IF(OR(M29="",L29="",L29=0),"",M29/L29)</f>
        <v/>
      </c>
      <c r="O29">
        <f>IF(M29="","",IF(M29&gt;0,"Win",IF(M29&lt;0,"Loss","Scratch")))</f>
        <v/>
      </c>
    </row>
    <row r="30">
      <c r="A30" s="5" t="n"/>
      <c r="G30" s="6" t="n"/>
      <c r="H30" s="6" t="n"/>
      <c r="J30" s="6" t="n"/>
      <c r="K30" s="6" t="n"/>
      <c r="L30" s="7">
        <f>IF(OR(G30="",J30="",I30=""),"",ABS(G30-J30)*I30)</f>
        <v/>
      </c>
      <c r="M30" s="7">
        <f>IF(OR(G30="",H30="",I30="",F30=""),"",IF(F30="Long",(H30-G30)*I30,(G30-H30)*I30))</f>
        <v/>
      </c>
      <c r="N30" s="6">
        <f>IF(OR(M30="",L30="",L30=0),"",M30/L30)</f>
        <v/>
      </c>
      <c r="O30">
        <f>IF(M30="","",IF(M30&gt;0,"Win",IF(M30&lt;0,"Loss","Scratch")))</f>
        <v/>
      </c>
    </row>
    <row r="31">
      <c r="A31" s="5" t="n"/>
      <c r="G31" s="6" t="n"/>
      <c r="H31" s="6" t="n"/>
      <c r="J31" s="6" t="n"/>
      <c r="K31" s="6" t="n"/>
      <c r="L31" s="7">
        <f>IF(OR(G31="",J31="",I31=""),"",ABS(G31-J31)*I31)</f>
        <v/>
      </c>
      <c r="M31" s="7">
        <f>IF(OR(G31="",H31="",I31="",F31=""),"",IF(F31="Long",(H31-G31)*I31,(G31-H31)*I31))</f>
        <v/>
      </c>
      <c r="N31" s="6">
        <f>IF(OR(M31="",L31="",L31=0),"",M31/L31)</f>
        <v/>
      </c>
      <c r="O31">
        <f>IF(M31="","",IF(M31&gt;0,"Win",IF(M31&lt;0,"Loss","Scratch")))</f>
        <v/>
      </c>
    </row>
    <row r="32">
      <c r="A32" s="5" t="n"/>
      <c r="G32" s="6" t="n"/>
      <c r="H32" s="6" t="n"/>
      <c r="J32" s="6" t="n"/>
      <c r="K32" s="6" t="n"/>
      <c r="L32" s="7">
        <f>IF(OR(G32="",J32="",I32=""),"",ABS(G32-J32)*I32)</f>
        <v/>
      </c>
      <c r="M32" s="7">
        <f>IF(OR(G32="",H32="",I32="",F32=""),"",IF(F32="Long",(H32-G32)*I32,(G32-H32)*I32))</f>
        <v/>
      </c>
      <c r="N32" s="6">
        <f>IF(OR(M32="",L32="",L32=0),"",M32/L32)</f>
        <v/>
      </c>
      <c r="O32">
        <f>IF(M32="","",IF(M32&gt;0,"Win",IF(M32&lt;0,"Loss","Scratch")))</f>
        <v/>
      </c>
    </row>
    <row r="33">
      <c r="A33" s="5" t="n"/>
      <c r="G33" s="6" t="n"/>
      <c r="H33" s="6" t="n"/>
      <c r="J33" s="6" t="n"/>
      <c r="K33" s="6" t="n"/>
      <c r="L33" s="7">
        <f>IF(OR(G33="",J33="",I33=""),"",ABS(G33-J33)*I33)</f>
        <v/>
      </c>
      <c r="M33" s="7">
        <f>IF(OR(G33="",H33="",I33="",F33=""),"",IF(F33="Long",(H33-G33)*I33,(G33-H33)*I33))</f>
        <v/>
      </c>
      <c r="N33" s="6">
        <f>IF(OR(M33="",L33="",L33=0),"",M33/L33)</f>
        <v/>
      </c>
      <c r="O33">
        <f>IF(M33="","",IF(M33&gt;0,"Win",IF(M33&lt;0,"Loss","Scratch")))</f>
        <v/>
      </c>
    </row>
    <row r="34">
      <c r="A34" s="5" t="n"/>
      <c r="G34" s="6" t="n"/>
      <c r="H34" s="6" t="n"/>
      <c r="J34" s="6" t="n"/>
      <c r="K34" s="6" t="n"/>
      <c r="L34" s="7">
        <f>IF(OR(G34="",J34="",I34=""),"",ABS(G34-J34)*I34)</f>
        <v/>
      </c>
      <c r="M34" s="7">
        <f>IF(OR(G34="",H34="",I34="",F34=""),"",IF(F34="Long",(H34-G34)*I34,(G34-H34)*I34))</f>
        <v/>
      </c>
      <c r="N34" s="6">
        <f>IF(OR(M34="",L34="",L34=0),"",M34/L34)</f>
        <v/>
      </c>
      <c r="O34">
        <f>IF(M34="","",IF(M34&gt;0,"Win",IF(M34&lt;0,"Loss","Scratch")))</f>
        <v/>
      </c>
    </row>
    <row r="35">
      <c r="A35" s="5" t="n"/>
      <c r="G35" s="6" t="n"/>
      <c r="H35" s="6" t="n"/>
      <c r="J35" s="6" t="n"/>
      <c r="K35" s="6" t="n"/>
      <c r="L35" s="7">
        <f>IF(OR(G35="",J35="",I35=""),"",ABS(G35-J35)*I35)</f>
        <v/>
      </c>
      <c r="M35" s="7">
        <f>IF(OR(G35="",H35="",I35="",F35=""),"",IF(F35="Long",(H35-G35)*I35,(G35-H35)*I35))</f>
        <v/>
      </c>
      <c r="N35" s="6">
        <f>IF(OR(M35="",L35="",L35=0),"",M35/L35)</f>
        <v/>
      </c>
      <c r="O35">
        <f>IF(M35="","",IF(M35&gt;0,"Win",IF(M35&lt;0,"Loss","Scratch")))</f>
        <v/>
      </c>
    </row>
    <row r="36">
      <c r="A36" s="5" t="n"/>
      <c r="G36" s="6" t="n"/>
      <c r="H36" s="6" t="n"/>
      <c r="J36" s="6" t="n"/>
      <c r="K36" s="6" t="n"/>
      <c r="L36" s="7">
        <f>IF(OR(G36="",J36="",I36=""),"",ABS(G36-J36)*I36)</f>
        <v/>
      </c>
      <c r="M36" s="7">
        <f>IF(OR(G36="",H36="",I36="",F36=""),"",IF(F36="Long",(H36-G36)*I36,(G36-H36)*I36))</f>
        <v/>
      </c>
      <c r="N36" s="6">
        <f>IF(OR(M36="",L36="",L36=0),"",M36/L36)</f>
        <v/>
      </c>
      <c r="O36">
        <f>IF(M36="","",IF(M36&gt;0,"Win",IF(M36&lt;0,"Loss","Scratch")))</f>
        <v/>
      </c>
    </row>
    <row r="37">
      <c r="A37" s="5" t="n"/>
      <c r="G37" s="6" t="n"/>
      <c r="H37" s="6" t="n"/>
      <c r="J37" s="6" t="n"/>
      <c r="K37" s="6" t="n"/>
      <c r="L37" s="7">
        <f>IF(OR(G37="",J37="",I37=""),"",ABS(G37-J37)*I37)</f>
        <v/>
      </c>
      <c r="M37" s="7">
        <f>IF(OR(G37="",H37="",I37="",F37=""),"",IF(F37="Long",(H37-G37)*I37,(G37-H37)*I37))</f>
        <v/>
      </c>
      <c r="N37" s="6">
        <f>IF(OR(M37="",L37="",L37=0),"",M37/L37)</f>
        <v/>
      </c>
      <c r="O37">
        <f>IF(M37="","",IF(M37&gt;0,"Win",IF(M37&lt;0,"Loss","Scratch")))</f>
        <v/>
      </c>
    </row>
    <row r="38">
      <c r="A38" s="5" t="n"/>
      <c r="G38" s="6" t="n"/>
      <c r="H38" s="6" t="n"/>
      <c r="J38" s="6" t="n"/>
      <c r="K38" s="6" t="n"/>
      <c r="L38" s="7">
        <f>IF(OR(G38="",J38="",I38=""),"",ABS(G38-J38)*I38)</f>
        <v/>
      </c>
      <c r="M38" s="7">
        <f>IF(OR(G38="",H38="",I38="",F38=""),"",IF(F38="Long",(H38-G38)*I38,(G38-H38)*I38))</f>
        <v/>
      </c>
      <c r="N38" s="6">
        <f>IF(OR(M38="",L38="",L38=0),"",M38/L38)</f>
        <v/>
      </c>
      <c r="O38">
        <f>IF(M38="","",IF(M38&gt;0,"Win",IF(M38&lt;0,"Loss","Scratch")))</f>
        <v/>
      </c>
    </row>
    <row r="39">
      <c r="A39" s="5" t="n"/>
      <c r="G39" s="6" t="n"/>
      <c r="H39" s="6" t="n"/>
      <c r="J39" s="6" t="n"/>
      <c r="K39" s="6" t="n"/>
      <c r="L39" s="7">
        <f>IF(OR(G39="",J39="",I39=""),"",ABS(G39-J39)*I39)</f>
        <v/>
      </c>
      <c r="M39" s="7">
        <f>IF(OR(G39="",H39="",I39="",F39=""),"",IF(F39="Long",(H39-G39)*I39,(G39-H39)*I39))</f>
        <v/>
      </c>
      <c r="N39" s="6">
        <f>IF(OR(M39="",L39="",L39=0),"",M39/L39)</f>
        <v/>
      </c>
      <c r="O39">
        <f>IF(M39="","",IF(M39&gt;0,"Win",IF(M39&lt;0,"Loss","Scratch")))</f>
        <v/>
      </c>
    </row>
    <row r="40">
      <c r="A40" s="5" t="n"/>
      <c r="G40" s="6" t="n"/>
      <c r="H40" s="6" t="n"/>
      <c r="J40" s="6" t="n"/>
      <c r="K40" s="6" t="n"/>
      <c r="L40" s="7">
        <f>IF(OR(G40="",J40="",I40=""),"",ABS(G40-J40)*I40)</f>
        <v/>
      </c>
      <c r="M40" s="7">
        <f>IF(OR(G40="",H40="",I40="",F40=""),"",IF(F40="Long",(H40-G40)*I40,(G40-H40)*I40))</f>
        <v/>
      </c>
      <c r="N40" s="6">
        <f>IF(OR(M40="",L40="",L40=0),"",M40/L40)</f>
        <v/>
      </c>
      <c r="O40">
        <f>IF(M40="","",IF(M40&gt;0,"Win",IF(M40&lt;0,"Loss","Scratch")))</f>
        <v/>
      </c>
    </row>
    <row r="41">
      <c r="A41" s="5" t="n"/>
      <c r="G41" s="6" t="n"/>
      <c r="H41" s="6" t="n"/>
      <c r="J41" s="6" t="n"/>
      <c r="K41" s="6" t="n"/>
      <c r="L41" s="7">
        <f>IF(OR(G41="",J41="",I41=""),"",ABS(G41-J41)*I41)</f>
        <v/>
      </c>
      <c r="M41" s="7">
        <f>IF(OR(G41="",H41="",I41="",F41=""),"",IF(F41="Long",(H41-G41)*I41,(G41-H41)*I41))</f>
        <v/>
      </c>
      <c r="N41" s="6">
        <f>IF(OR(M41="",L41="",L41=0),"",M41/L41)</f>
        <v/>
      </c>
      <c r="O41">
        <f>IF(M41="","",IF(M41&gt;0,"Win",IF(M41&lt;0,"Loss","Scratch")))</f>
        <v/>
      </c>
    </row>
    <row r="42">
      <c r="A42" s="5" t="n"/>
      <c r="G42" s="6" t="n"/>
      <c r="H42" s="6" t="n"/>
      <c r="J42" s="6" t="n"/>
      <c r="K42" s="6" t="n"/>
      <c r="L42" s="7">
        <f>IF(OR(G42="",J42="",I42=""),"",ABS(G42-J42)*I42)</f>
        <v/>
      </c>
      <c r="M42" s="7">
        <f>IF(OR(G42="",H42="",I42="",F42=""),"",IF(F42="Long",(H42-G42)*I42,(G42-H42)*I42))</f>
        <v/>
      </c>
      <c r="N42" s="6">
        <f>IF(OR(M42="",L42="",L42=0),"",M42/L42)</f>
        <v/>
      </c>
      <c r="O42">
        <f>IF(M42="","",IF(M42&gt;0,"Win",IF(M42&lt;0,"Loss","Scratch")))</f>
        <v/>
      </c>
    </row>
    <row r="43">
      <c r="A43" s="5" t="n"/>
      <c r="G43" s="6" t="n"/>
      <c r="H43" s="6" t="n"/>
      <c r="J43" s="6" t="n"/>
      <c r="K43" s="6" t="n"/>
      <c r="L43" s="7">
        <f>IF(OR(G43="",J43="",I43=""),"",ABS(G43-J43)*I43)</f>
        <v/>
      </c>
      <c r="M43" s="7">
        <f>IF(OR(G43="",H43="",I43="",F43=""),"",IF(F43="Long",(H43-G43)*I43,(G43-H43)*I43))</f>
        <v/>
      </c>
      <c r="N43" s="6">
        <f>IF(OR(M43="",L43="",L43=0),"",M43/L43)</f>
        <v/>
      </c>
      <c r="O43">
        <f>IF(M43="","",IF(M43&gt;0,"Win",IF(M43&lt;0,"Loss","Scratch")))</f>
        <v/>
      </c>
    </row>
    <row r="44">
      <c r="A44" s="5" t="n"/>
      <c r="G44" s="6" t="n"/>
      <c r="H44" s="6" t="n"/>
      <c r="J44" s="6" t="n"/>
      <c r="K44" s="6" t="n"/>
      <c r="L44" s="7">
        <f>IF(OR(G44="",J44="",I44=""),"",ABS(G44-J44)*I44)</f>
        <v/>
      </c>
      <c r="M44" s="7">
        <f>IF(OR(G44="",H44="",I44="",F44=""),"",IF(F44="Long",(H44-G44)*I44,(G44-H44)*I44))</f>
        <v/>
      </c>
      <c r="N44" s="6">
        <f>IF(OR(M44="",L44="",L44=0),"",M44/L44)</f>
        <v/>
      </c>
      <c r="O44">
        <f>IF(M44="","",IF(M44&gt;0,"Win",IF(M44&lt;0,"Loss","Scratch")))</f>
        <v/>
      </c>
    </row>
    <row r="45">
      <c r="A45" s="5" t="n"/>
      <c r="G45" s="6" t="n"/>
      <c r="H45" s="6" t="n"/>
      <c r="J45" s="6" t="n"/>
      <c r="K45" s="6" t="n"/>
      <c r="L45" s="7">
        <f>IF(OR(G45="",J45="",I45=""),"",ABS(G45-J45)*I45)</f>
        <v/>
      </c>
      <c r="M45" s="7">
        <f>IF(OR(G45="",H45="",I45="",F45=""),"",IF(F45="Long",(H45-G45)*I45,(G45-H45)*I45))</f>
        <v/>
      </c>
      <c r="N45" s="6">
        <f>IF(OR(M45="",L45="",L45=0),"",M45/L45)</f>
        <v/>
      </c>
      <c r="O45">
        <f>IF(M45="","",IF(M45&gt;0,"Win",IF(M45&lt;0,"Loss","Scratch")))</f>
        <v/>
      </c>
    </row>
    <row r="46">
      <c r="A46" s="5" t="n"/>
      <c r="G46" s="6" t="n"/>
      <c r="H46" s="6" t="n"/>
      <c r="J46" s="6" t="n"/>
      <c r="K46" s="6" t="n"/>
      <c r="L46" s="7">
        <f>IF(OR(G46="",J46="",I46=""),"",ABS(G46-J46)*I46)</f>
        <v/>
      </c>
      <c r="M46" s="7">
        <f>IF(OR(G46="",H46="",I46="",F46=""),"",IF(F46="Long",(H46-G46)*I46,(G46-H46)*I46))</f>
        <v/>
      </c>
      <c r="N46" s="6">
        <f>IF(OR(M46="",L46="",L46=0),"",M46/L46)</f>
        <v/>
      </c>
      <c r="O46">
        <f>IF(M46="","",IF(M46&gt;0,"Win",IF(M46&lt;0,"Loss","Scratch")))</f>
        <v/>
      </c>
    </row>
    <row r="47">
      <c r="A47" s="5" t="n"/>
      <c r="G47" s="6" t="n"/>
      <c r="H47" s="6" t="n"/>
      <c r="J47" s="6" t="n"/>
      <c r="K47" s="6" t="n"/>
      <c r="L47" s="7">
        <f>IF(OR(G47="",J47="",I47=""),"",ABS(G47-J47)*I47)</f>
        <v/>
      </c>
      <c r="M47" s="7">
        <f>IF(OR(G47="",H47="",I47="",F47=""),"",IF(F47="Long",(H47-G47)*I47,(G47-H47)*I47))</f>
        <v/>
      </c>
      <c r="N47" s="6">
        <f>IF(OR(M47="",L47="",L47=0),"",M47/L47)</f>
        <v/>
      </c>
      <c r="O47">
        <f>IF(M47="","",IF(M47&gt;0,"Win",IF(M47&lt;0,"Loss","Scratch")))</f>
        <v/>
      </c>
    </row>
    <row r="48">
      <c r="A48" s="5" t="n"/>
      <c r="G48" s="6" t="n"/>
      <c r="H48" s="6" t="n"/>
      <c r="J48" s="6" t="n"/>
      <c r="K48" s="6" t="n"/>
      <c r="L48" s="7">
        <f>IF(OR(G48="",J48="",I48=""),"",ABS(G48-J48)*I48)</f>
        <v/>
      </c>
      <c r="M48" s="7">
        <f>IF(OR(G48="",H48="",I48="",F48=""),"",IF(F48="Long",(H48-G48)*I48,(G48-H48)*I48))</f>
        <v/>
      </c>
      <c r="N48" s="6">
        <f>IF(OR(M48="",L48="",L48=0),"",M48/L48)</f>
        <v/>
      </c>
      <c r="O48">
        <f>IF(M48="","",IF(M48&gt;0,"Win",IF(M48&lt;0,"Loss","Scratch")))</f>
        <v/>
      </c>
    </row>
    <row r="49">
      <c r="A49" s="5" t="n"/>
      <c r="G49" s="6" t="n"/>
      <c r="H49" s="6" t="n"/>
      <c r="J49" s="6" t="n"/>
      <c r="K49" s="6" t="n"/>
      <c r="L49" s="7">
        <f>IF(OR(G49="",J49="",I49=""),"",ABS(G49-J49)*I49)</f>
        <v/>
      </c>
      <c r="M49" s="7">
        <f>IF(OR(G49="",H49="",I49="",F49=""),"",IF(F49="Long",(H49-G49)*I49,(G49-H49)*I49))</f>
        <v/>
      </c>
      <c r="N49" s="6">
        <f>IF(OR(M49="",L49="",L49=0),"",M49/L49)</f>
        <v/>
      </c>
      <c r="O49">
        <f>IF(M49="","",IF(M49&gt;0,"Win",IF(M49&lt;0,"Loss","Scratch")))</f>
        <v/>
      </c>
    </row>
    <row r="50">
      <c r="A50" s="5" t="n"/>
      <c r="G50" s="6" t="n"/>
      <c r="H50" s="6" t="n"/>
      <c r="J50" s="6" t="n"/>
      <c r="K50" s="6" t="n"/>
      <c r="L50" s="7">
        <f>IF(OR(G50="",J50="",I50=""),"",ABS(G50-J50)*I50)</f>
        <v/>
      </c>
      <c r="M50" s="7">
        <f>IF(OR(G50="",H50="",I50="",F50=""),"",IF(F50="Long",(H50-G50)*I50,(G50-H50)*I50))</f>
        <v/>
      </c>
      <c r="N50" s="6">
        <f>IF(OR(M50="",L50="",L50=0),"",M50/L50)</f>
        <v/>
      </c>
      <c r="O50">
        <f>IF(M50="","",IF(M50&gt;0,"Win",IF(M50&lt;0,"Loss","Scratch")))</f>
        <v/>
      </c>
    </row>
    <row r="51">
      <c r="A51" s="5" t="n"/>
      <c r="G51" s="6" t="n"/>
      <c r="H51" s="6" t="n"/>
      <c r="J51" s="6" t="n"/>
      <c r="K51" s="6" t="n"/>
      <c r="L51" s="7">
        <f>IF(OR(G51="",J51="",I51=""),"",ABS(G51-J51)*I51)</f>
        <v/>
      </c>
      <c r="M51" s="7">
        <f>IF(OR(G51="",H51="",I51="",F51=""),"",IF(F51="Long",(H51-G51)*I51,(G51-H51)*I51))</f>
        <v/>
      </c>
      <c r="N51" s="6">
        <f>IF(OR(M51="",L51="",L51=0),"",M51/L51)</f>
        <v/>
      </c>
      <c r="O51">
        <f>IF(M51="","",IF(M51&gt;0,"Win",IF(M51&lt;0,"Loss","Scratch")))</f>
        <v/>
      </c>
    </row>
    <row r="52">
      <c r="A52" s="5" t="n"/>
      <c r="G52" s="6" t="n"/>
      <c r="H52" s="6" t="n"/>
      <c r="J52" s="6" t="n"/>
      <c r="K52" s="6" t="n"/>
      <c r="L52" s="7">
        <f>IF(OR(G52="",J52="",I52=""),"",ABS(G52-J52)*I52)</f>
        <v/>
      </c>
      <c r="M52" s="7">
        <f>IF(OR(G52="",H52="",I52="",F52=""),"",IF(F52="Long",(H52-G52)*I52,(G52-H52)*I52))</f>
        <v/>
      </c>
      <c r="N52" s="6">
        <f>IF(OR(M52="",L52="",L52=0),"",M52/L52)</f>
        <v/>
      </c>
      <c r="O52">
        <f>IF(M52="","",IF(M52&gt;0,"Win",IF(M52&lt;0,"Loss","Scratch")))</f>
        <v/>
      </c>
    </row>
    <row r="53">
      <c r="A53" s="5" t="n"/>
      <c r="G53" s="6" t="n"/>
      <c r="H53" s="6" t="n"/>
      <c r="J53" s="6" t="n"/>
      <c r="K53" s="6" t="n"/>
      <c r="L53" s="7">
        <f>IF(OR(G53="",J53="",I53=""),"",ABS(G53-J53)*I53)</f>
        <v/>
      </c>
      <c r="M53" s="7">
        <f>IF(OR(G53="",H53="",I53="",F53=""),"",IF(F53="Long",(H53-G53)*I53,(G53-H53)*I53))</f>
        <v/>
      </c>
      <c r="N53" s="6">
        <f>IF(OR(M53="",L53="",L53=0),"",M53/L53)</f>
        <v/>
      </c>
      <c r="O53">
        <f>IF(M53="","",IF(M53&gt;0,"Win",IF(M53&lt;0,"Loss","Scratch")))</f>
        <v/>
      </c>
    </row>
    <row r="54">
      <c r="A54" s="5" t="n"/>
      <c r="G54" s="6" t="n"/>
      <c r="H54" s="6" t="n"/>
      <c r="J54" s="6" t="n"/>
      <c r="K54" s="6" t="n"/>
      <c r="L54" s="7">
        <f>IF(OR(G54="",J54="",I54=""),"",ABS(G54-J54)*I54)</f>
        <v/>
      </c>
      <c r="M54" s="7">
        <f>IF(OR(G54="",H54="",I54="",F54=""),"",IF(F54="Long",(H54-G54)*I54,(G54-H54)*I54))</f>
        <v/>
      </c>
      <c r="N54" s="6">
        <f>IF(OR(M54="",L54="",L54=0),"",M54/L54)</f>
        <v/>
      </c>
      <c r="O54">
        <f>IF(M54="","",IF(M54&gt;0,"Win",IF(M54&lt;0,"Loss","Scratch")))</f>
        <v/>
      </c>
    </row>
    <row r="55">
      <c r="A55" s="5" t="n"/>
      <c r="G55" s="6" t="n"/>
      <c r="H55" s="6" t="n"/>
      <c r="J55" s="6" t="n"/>
      <c r="K55" s="6" t="n"/>
      <c r="L55" s="7">
        <f>IF(OR(G55="",J55="",I55=""),"",ABS(G55-J55)*I55)</f>
        <v/>
      </c>
      <c r="M55" s="7">
        <f>IF(OR(G55="",H55="",I55="",F55=""),"",IF(F55="Long",(H55-G55)*I55,(G55-H55)*I55))</f>
        <v/>
      </c>
      <c r="N55" s="6">
        <f>IF(OR(M55="",L55="",L55=0),"",M55/L55)</f>
        <v/>
      </c>
      <c r="O55">
        <f>IF(M55="","",IF(M55&gt;0,"Win",IF(M55&lt;0,"Loss","Scratch")))</f>
        <v/>
      </c>
    </row>
    <row r="56">
      <c r="A56" s="5" t="n"/>
      <c r="G56" s="6" t="n"/>
      <c r="H56" s="6" t="n"/>
      <c r="J56" s="6" t="n"/>
      <c r="K56" s="6" t="n"/>
      <c r="L56" s="7">
        <f>IF(OR(G56="",J56="",I56=""),"",ABS(G56-J56)*I56)</f>
        <v/>
      </c>
      <c r="M56" s="7">
        <f>IF(OR(G56="",H56="",I56="",F56=""),"",IF(F56="Long",(H56-G56)*I56,(G56-H56)*I56))</f>
        <v/>
      </c>
      <c r="N56" s="6">
        <f>IF(OR(M56="",L56="",L56=0),"",M56/L56)</f>
        <v/>
      </c>
      <c r="O56">
        <f>IF(M56="","",IF(M56&gt;0,"Win",IF(M56&lt;0,"Loss","Scratch")))</f>
        <v/>
      </c>
    </row>
    <row r="57">
      <c r="A57" s="5" t="n"/>
      <c r="G57" s="6" t="n"/>
      <c r="H57" s="6" t="n"/>
      <c r="J57" s="6" t="n"/>
      <c r="K57" s="6" t="n"/>
      <c r="L57" s="7">
        <f>IF(OR(G57="",J57="",I57=""),"",ABS(G57-J57)*I57)</f>
        <v/>
      </c>
      <c r="M57" s="7">
        <f>IF(OR(G57="",H57="",I57="",F57=""),"",IF(F57="Long",(H57-G57)*I57,(G57-H57)*I57))</f>
        <v/>
      </c>
      <c r="N57" s="6">
        <f>IF(OR(M57="",L57="",L57=0),"",M57/L57)</f>
        <v/>
      </c>
      <c r="O57">
        <f>IF(M57="","",IF(M57&gt;0,"Win",IF(M57&lt;0,"Loss","Scratch")))</f>
        <v/>
      </c>
    </row>
    <row r="58">
      <c r="A58" s="5" t="n"/>
      <c r="G58" s="6" t="n"/>
      <c r="H58" s="6" t="n"/>
      <c r="J58" s="6" t="n"/>
      <c r="K58" s="6" t="n"/>
      <c r="L58" s="7">
        <f>IF(OR(G58="",J58="",I58=""),"",ABS(G58-J58)*I58)</f>
        <v/>
      </c>
      <c r="M58" s="7">
        <f>IF(OR(G58="",H58="",I58="",F58=""),"",IF(F58="Long",(H58-G58)*I58,(G58-H58)*I58))</f>
        <v/>
      </c>
      <c r="N58" s="6">
        <f>IF(OR(M58="",L58="",L58=0),"",M58/L58)</f>
        <v/>
      </c>
      <c r="O58">
        <f>IF(M58="","",IF(M58&gt;0,"Win",IF(M58&lt;0,"Loss","Scratch")))</f>
        <v/>
      </c>
    </row>
    <row r="59">
      <c r="A59" s="5" t="n"/>
      <c r="G59" s="6" t="n"/>
      <c r="H59" s="6" t="n"/>
      <c r="J59" s="6" t="n"/>
      <c r="K59" s="6" t="n"/>
      <c r="L59" s="7">
        <f>IF(OR(G59="",J59="",I59=""),"",ABS(G59-J59)*I59)</f>
        <v/>
      </c>
      <c r="M59" s="7">
        <f>IF(OR(G59="",H59="",I59="",F59=""),"",IF(F59="Long",(H59-G59)*I59,(G59-H59)*I59))</f>
        <v/>
      </c>
      <c r="N59" s="6">
        <f>IF(OR(M59="",L59="",L59=0),"",M59/L59)</f>
        <v/>
      </c>
      <c r="O59">
        <f>IF(M59="","",IF(M59&gt;0,"Win",IF(M59&lt;0,"Loss","Scratch")))</f>
        <v/>
      </c>
    </row>
    <row r="60">
      <c r="A60" s="5" t="n"/>
      <c r="G60" s="6" t="n"/>
      <c r="H60" s="6" t="n"/>
      <c r="J60" s="6" t="n"/>
      <c r="K60" s="6" t="n"/>
      <c r="L60" s="7">
        <f>IF(OR(G60="",J60="",I60=""),"",ABS(G60-J60)*I60)</f>
        <v/>
      </c>
      <c r="M60" s="7">
        <f>IF(OR(G60="",H60="",I60="",F60=""),"",IF(F60="Long",(H60-G60)*I60,(G60-H60)*I60))</f>
        <v/>
      </c>
      <c r="N60" s="6">
        <f>IF(OR(M60="",L60="",L60=0),"",M60/L60)</f>
        <v/>
      </c>
      <c r="O60">
        <f>IF(M60="","",IF(M60&gt;0,"Win",IF(M60&lt;0,"Loss","Scratch")))</f>
        <v/>
      </c>
    </row>
    <row r="61">
      <c r="A61" s="5" t="n"/>
      <c r="G61" s="6" t="n"/>
      <c r="H61" s="6" t="n"/>
      <c r="J61" s="6" t="n"/>
      <c r="K61" s="6" t="n"/>
      <c r="L61" s="7">
        <f>IF(OR(G61="",J61="",I61=""),"",ABS(G61-J61)*I61)</f>
        <v/>
      </c>
      <c r="M61" s="7">
        <f>IF(OR(G61="",H61="",I61="",F61=""),"",IF(F61="Long",(H61-G61)*I61,(G61-H61)*I61))</f>
        <v/>
      </c>
      <c r="N61" s="6">
        <f>IF(OR(M61="",L61="",L61=0),"",M61/L61)</f>
        <v/>
      </c>
      <c r="O61">
        <f>IF(M61="","",IF(M61&gt;0,"Win",IF(M61&lt;0,"Loss","Scratch")))</f>
        <v/>
      </c>
    </row>
    <row r="62">
      <c r="A62" s="5" t="n"/>
      <c r="G62" s="6" t="n"/>
      <c r="H62" s="6" t="n"/>
      <c r="J62" s="6" t="n"/>
      <c r="K62" s="6" t="n"/>
      <c r="L62" s="7">
        <f>IF(OR(G62="",J62="",I62=""),"",ABS(G62-J62)*I62)</f>
        <v/>
      </c>
      <c r="M62" s="7">
        <f>IF(OR(G62="",H62="",I62="",F62=""),"",IF(F62="Long",(H62-G62)*I62,(G62-H62)*I62))</f>
        <v/>
      </c>
      <c r="N62" s="6">
        <f>IF(OR(M62="",L62="",L62=0),"",M62/L62)</f>
        <v/>
      </c>
      <c r="O62">
        <f>IF(M62="","",IF(M62&gt;0,"Win",IF(M62&lt;0,"Loss","Scratch")))</f>
        <v/>
      </c>
    </row>
    <row r="63">
      <c r="A63" s="5" t="n"/>
      <c r="G63" s="6" t="n"/>
      <c r="H63" s="6" t="n"/>
      <c r="J63" s="6" t="n"/>
      <c r="K63" s="6" t="n"/>
      <c r="L63" s="7">
        <f>IF(OR(G63="",J63="",I63=""),"",ABS(G63-J63)*I63)</f>
        <v/>
      </c>
      <c r="M63" s="7">
        <f>IF(OR(G63="",H63="",I63="",F63=""),"",IF(F63="Long",(H63-G63)*I63,(G63-H63)*I63))</f>
        <v/>
      </c>
      <c r="N63" s="6">
        <f>IF(OR(M63="",L63="",L63=0),"",M63/L63)</f>
        <v/>
      </c>
      <c r="O63">
        <f>IF(M63="","",IF(M63&gt;0,"Win",IF(M63&lt;0,"Loss","Scratch")))</f>
        <v/>
      </c>
    </row>
    <row r="64">
      <c r="A64" s="5" t="n"/>
      <c r="G64" s="6" t="n"/>
      <c r="H64" s="6" t="n"/>
      <c r="J64" s="6" t="n"/>
      <c r="K64" s="6" t="n"/>
      <c r="L64" s="7">
        <f>IF(OR(G64="",J64="",I64=""),"",ABS(G64-J64)*I64)</f>
        <v/>
      </c>
      <c r="M64" s="7">
        <f>IF(OR(G64="",H64="",I64="",F64=""),"",IF(F64="Long",(H64-G64)*I64,(G64-H64)*I64))</f>
        <v/>
      </c>
      <c r="N64" s="6">
        <f>IF(OR(M64="",L64="",L64=0),"",M64/L64)</f>
        <v/>
      </c>
      <c r="O64">
        <f>IF(M64="","",IF(M64&gt;0,"Win",IF(M64&lt;0,"Loss","Scratch")))</f>
        <v/>
      </c>
    </row>
    <row r="65">
      <c r="A65" s="5" t="n"/>
      <c r="G65" s="6" t="n"/>
      <c r="H65" s="6" t="n"/>
      <c r="J65" s="6" t="n"/>
      <c r="K65" s="6" t="n"/>
      <c r="L65" s="7">
        <f>IF(OR(G65="",J65="",I65=""),"",ABS(G65-J65)*I65)</f>
        <v/>
      </c>
      <c r="M65" s="7">
        <f>IF(OR(G65="",H65="",I65="",F65=""),"",IF(F65="Long",(H65-G65)*I65,(G65-H65)*I65))</f>
        <v/>
      </c>
      <c r="N65" s="6">
        <f>IF(OR(M65="",L65="",L65=0),"",M65/L65)</f>
        <v/>
      </c>
      <c r="O65">
        <f>IF(M65="","",IF(M65&gt;0,"Win",IF(M65&lt;0,"Loss","Scratch")))</f>
        <v/>
      </c>
    </row>
    <row r="66">
      <c r="A66" s="5" t="n"/>
      <c r="G66" s="6" t="n"/>
      <c r="H66" s="6" t="n"/>
      <c r="J66" s="6" t="n"/>
      <c r="K66" s="6" t="n"/>
      <c r="L66" s="7">
        <f>IF(OR(G66="",J66="",I66=""),"",ABS(G66-J66)*I66)</f>
        <v/>
      </c>
      <c r="M66" s="7">
        <f>IF(OR(G66="",H66="",I66="",F66=""),"",IF(F66="Long",(H66-G66)*I66,(G66-H66)*I66))</f>
        <v/>
      </c>
      <c r="N66" s="6">
        <f>IF(OR(M66="",L66="",L66=0),"",M66/L66)</f>
        <v/>
      </c>
      <c r="O66">
        <f>IF(M66="","",IF(M66&gt;0,"Win",IF(M66&lt;0,"Loss","Scratch")))</f>
        <v/>
      </c>
    </row>
    <row r="67">
      <c r="A67" s="5" t="n"/>
      <c r="G67" s="6" t="n"/>
      <c r="H67" s="6" t="n"/>
      <c r="J67" s="6" t="n"/>
      <c r="K67" s="6" t="n"/>
      <c r="L67" s="7">
        <f>IF(OR(G67="",J67="",I67=""),"",ABS(G67-J67)*I67)</f>
        <v/>
      </c>
      <c r="M67" s="7">
        <f>IF(OR(G67="",H67="",I67="",F67=""),"",IF(F67="Long",(H67-G67)*I67,(G67-H67)*I67))</f>
        <v/>
      </c>
      <c r="N67" s="6">
        <f>IF(OR(M67="",L67="",L67=0),"",M67/L67)</f>
        <v/>
      </c>
      <c r="O67">
        <f>IF(M67="","",IF(M67&gt;0,"Win",IF(M67&lt;0,"Loss","Scratch")))</f>
        <v/>
      </c>
    </row>
    <row r="68">
      <c r="A68" s="5" t="n"/>
      <c r="G68" s="6" t="n"/>
      <c r="H68" s="6" t="n"/>
      <c r="J68" s="6" t="n"/>
      <c r="K68" s="6" t="n"/>
      <c r="L68" s="7">
        <f>IF(OR(G68="",J68="",I68=""),"",ABS(G68-J68)*I68)</f>
        <v/>
      </c>
      <c r="M68" s="7">
        <f>IF(OR(G68="",H68="",I68="",F68=""),"",IF(F68="Long",(H68-G68)*I68,(G68-H68)*I68))</f>
        <v/>
      </c>
      <c r="N68" s="6">
        <f>IF(OR(M68="",L68="",L68=0),"",M68/L68)</f>
        <v/>
      </c>
      <c r="O68">
        <f>IF(M68="","",IF(M68&gt;0,"Win",IF(M68&lt;0,"Loss","Scratch")))</f>
        <v/>
      </c>
    </row>
    <row r="69">
      <c r="A69" s="5" t="n"/>
      <c r="G69" s="6" t="n"/>
      <c r="H69" s="6" t="n"/>
      <c r="J69" s="6" t="n"/>
      <c r="K69" s="6" t="n"/>
      <c r="L69" s="7">
        <f>IF(OR(G69="",J69="",I69=""),"",ABS(G69-J69)*I69)</f>
        <v/>
      </c>
      <c r="M69" s="7">
        <f>IF(OR(G69="",H69="",I69="",F69=""),"",IF(F69="Long",(H69-G69)*I69,(G69-H69)*I69))</f>
        <v/>
      </c>
      <c r="N69" s="6">
        <f>IF(OR(M69="",L69="",L69=0),"",M69/L69)</f>
        <v/>
      </c>
      <c r="O69">
        <f>IF(M69="","",IF(M69&gt;0,"Win",IF(M69&lt;0,"Loss","Scratch")))</f>
        <v/>
      </c>
    </row>
    <row r="70">
      <c r="A70" s="5" t="n"/>
      <c r="G70" s="6" t="n"/>
      <c r="H70" s="6" t="n"/>
      <c r="J70" s="6" t="n"/>
      <c r="K70" s="6" t="n"/>
      <c r="L70" s="7">
        <f>IF(OR(G70="",J70="",I70=""),"",ABS(G70-J70)*I70)</f>
        <v/>
      </c>
      <c r="M70" s="7">
        <f>IF(OR(G70="",H70="",I70="",F70=""),"",IF(F70="Long",(H70-G70)*I70,(G70-H70)*I70))</f>
        <v/>
      </c>
      <c r="N70" s="6">
        <f>IF(OR(M70="",L70="",L70=0),"",M70/L70)</f>
        <v/>
      </c>
      <c r="O70">
        <f>IF(M70="","",IF(M70&gt;0,"Win",IF(M70&lt;0,"Loss","Scratch")))</f>
        <v/>
      </c>
    </row>
    <row r="71">
      <c r="A71" s="5" t="n"/>
      <c r="G71" s="6" t="n"/>
      <c r="H71" s="6" t="n"/>
      <c r="J71" s="6" t="n"/>
      <c r="K71" s="6" t="n"/>
      <c r="L71" s="7">
        <f>IF(OR(G71="",J71="",I71=""),"",ABS(G71-J71)*I71)</f>
        <v/>
      </c>
      <c r="M71" s="7">
        <f>IF(OR(G71="",H71="",I71="",F71=""),"",IF(F71="Long",(H71-G71)*I71,(G71-H71)*I71))</f>
        <v/>
      </c>
      <c r="N71" s="6">
        <f>IF(OR(M71="",L71="",L71=0),"",M71/L71)</f>
        <v/>
      </c>
      <c r="O71">
        <f>IF(M71="","",IF(M71&gt;0,"Win",IF(M71&lt;0,"Loss","Scratch")))</f>
        <v/>
      </c>
    </row>
    <row r="72">
      <c r="A72" s="5" t="n"/>
      <c r="G72" s="6" t="n"/>
      <c r="H72" s="6" t="n"/>
      <c r="J72" s="6" t="n"/>
      <c r="K72" s="6" t="n"/>
      <c r="L72" s="7">
        <f>IF(OR(G72="",J72="",I72=""),"",ABS(G72-J72)*I72)</f>
        <v/>
      </c>
      <c r="M72" s="7">
        <f>IF(OR(G72="",H72="",I72="",F72=""),"",IF(F72="Long",(H72-G72)*I72,(G72-H72)*I72))</f>
        <v/>
      </c>
      <c r="N72" s="6">
        <f>IF(OR(M72="",L72="",L72=0),"",M72/L72)</f>
        <v/>
      </c>
      <c r="O72">
        <f>IF(M72="","",IF(M72&gt;0,"Win",IF(M72&lt;0,"Loss","Scratch")))</f>
        <v/>
      </c>
    </row>
    <row r="73">
      <c r="A73" s="5" t="n"/>
      <c r="G73" s="6" t="n"/>
      <c r="H73" s="6" t="n"/>
      <c r="J73" s="6" t="n"/>
      <c r="K73" s="6" t="n"/>
      <c r="L73" s="7">
        <f>IF(OR(G73="",J73="",I73=""),"",ABS(G73-J73)*I73)</f>
        <v/>
      </c>
      <c r="M73" s="7">
        <f>IF(OR(G73="",H73="",I73="",F73=""),"",IF(F73="Long",(H73-G73)*I73,(G73-H73)*I73))</f>
        <v/>
      </c>
      <c r="N73" s="6">
        <f>IF(OR(M73="",L73="",L73=0),"",M73/L73)</f>
        <v/>
      </c>
      <c r="O73">
        <f>IF(M73="","",IF(M73&gt;0,"Win",IF(M73&lt;0,"Loss","Scratch")))</f>
        <v/>
      </c>
    </row>
    <row r="74">
      <c r="A74" s="5" t="n"/>
      <c r="G74" s="6" t="n"/>
      <c r="H74" s="6" t="n"/>
      <c r="J74" s="6" t="n"/>
      <c r="K74" s="6" t="n"/>
      <c r="L74" s="7">
        <f>IF(OR(G74="",J74="",I74=""),"",ABS(G74-J74)*I74)</f>
        <v/>
      </c>
      <c r="M74" s="7">
        <f>IF(OR(G74="",H74="",I74="",F74=""),"",IF(F74="Long",(H74-G74)*I74,(G74-H74)*I74))</f>
        <v/>
      </c>
      <c r="N74" s="6">
        <f>IF(OR(M74="",L74="",L74=0),"",M74/L74)</f>
        <v/>
      </c>
      <c r="O74">
        <f>IF(M74="","",IF(M74&gt;0,"Win",IF(M74&lt;0,"Loss","Scratch")))</f>
        <v/>
      </c>
    </row>
    <row r="75">
      <c r="A75" s="5" t="n"/>
      <c r="G75" s="6" t="n"/>
      <c r="H75" s="6" t="n"/>
      <c r="J75" s="6" t="n"/>
      <c r="K75" s="6" t="n"/>
      <c r="L75" s="7">
        <f>IF(OR(G75="",J75="",I75=""),"",ABS(G75-J75)*I75)</f>
        <v/>
      </c>
      <c r="M75" s="7">
        <f>IF(OR(G75="",H75="",I75="",F75=""),"",IF(F75="Long",(H75-G75)*I75,(G75-H75)*I75))</f>
        <v/>
      </c>
      <c r="N75" s="6">
        <f>IF(OR(M75="",L75="",L75=0),"",M75/L75)</f>
        <v/>
      </c>
      <c r="O75">
        <f>IF(M75="","",IF(M75&gt;0,"Win",IF(M75&lt;0,"Loss","Scratch")))</f>
        <v/>
      </c>
    </row>
    <row r="76">
      <c r="A76" s="5" t="n"/>
      <c r="G76" s="6" t="n"/>
      <c r="H76" s="6" t="n"/>
      <c r="J76" s="6" t="n"/>
      <c r="K76" s="6" t="n"/>
      <c r="L76" s="7">
        <f>IF(OR(G76="",J76="",I76=""),"",ABS(G76-J76)*I76)</f>
        <v/>
      </c>
      <c r="M76" s="7">
        <f>IF(OR(G76="",H76="",I76="",F76=""),"",IF(F76="Long",(H76-G76)*I76,(G76-H76)*I76))</f>
        <v/>
      </c>
      <c r="N76" s="6">
        <f>IF(OR(M76="",L76="",L76=0),"",M76/L76)</f>
        <v/>
      </c>
      <c r="O76">
        <f>IF(M76="","",IF(M76&gt;0,"Win",IF(M76&lt;0,"Loss","Scratch")))</f>
        <v/>
      </c>
    </row>
    <row r="77">
      <c r="A77" s="5" t="n"/>
      <c r="G77" s="6" t="n"/>
      <c r="H77" s="6" t="n"/>
      <c r="J77" s="6" t="n"/>
      <c r="K77" s="6" t="n"/>
      <c r="L77" s="7">
        <f>IF(OR(G77="",J77="",I77=""),"",ABS(G77-J77)*I77)</f>
        <v/>
      </c>
      <c r="M77" s="7">
        <f>IF(OR(G77="",H77="",I77="",F77=""),"",IF(F77="Long",(H77-G77)*I77,(G77-H77)*I77))</f>
        <v/>
      </c>
      <c r="N77" s="6">
        <f>IF(OR(M77="",L77="",L77=0),"",M77/L77)</f>
        <v/>
      </c>
      <c r="O77">
        <f>IF(M77="","",IF(M77&gt;0,"Win",IF(M77&lt;0,"Loss","Scratch")))</f>
        <v/>
      </c>
    </row>
    <row r="78">
      <c r="A78" s="5" t="n"/>
      <c r="G78" s="6" t="n"/>
      <c r="H78" s="6" t="n"/>
      <c r="J78" s="6" t="n"/>
      <c r="K78" s="6" t="n"/>
      <c r="L78" s="7">
        <f>IF(OR(G78="",J78="",I78=""),"",ABS(G78-J78)*I78)</f>
        <v/>
      </c>
      <c r="M78" s="7">
        <f>IF(OR(G78="",H78="",I78="",F78=""),"",IF(F78="Long",(H78-G78)*I78,(G78-H78)*I78))</f>
        <v/>
      </c>
      <c r="N78" s="6">
        <f>IF(OR(M78="",L78="",L78=0),"",M78/L78)</f>
        <v/>
      </c>
      <c r="O78">
        <f>IF(M78="","",IF(M78&gt;0,"Win",IF(M78&lt;0,"Loss","Scratch")))</f>
        <v/>
      </c>
    </row>
    <row r="79">
      <c r="A79" s="5" t="n"/>
      <c r="G79" s="6" t="n"/>
      <c r="H79" s="6" t="n"/>
      <c r="J79" s="6" t="n"/>
      <c r="K79" s="6" t="n"/>
      <c r="L79" s="7">
        <f>IF(OR(G79="",J79="",I79=""),"",ABS(G79-J79)*I79)</f>
        <v/>
      </c>
      <c r="M79" s="7">
        <f>IF(OR(G79="",H79="",I79="",F79=""),"",IF(F79="Long",(H79-G79)*I79,(G79-H79)*I79))</f>
        <v/>
      </c>
      <c r="N79" s="6">
        <f>IF(OR(M79="",L79="",L79=0),"",M79/L79)</f>
        <v/>
      </c>
      <c r="O79">
        <f>IF(M79="","",IF(M79&gt;0,"Win",IF(M79&lt;0,"Loss","Scratch")))</f>
        <v/>
      </c>
    </row>
    <row r="80">
      <c r="A80" s="5" t="n"/>
      <c r="G80" s="6" t="n"/>
      <c r="H80" s="6" t="n"/>
      <c r="J80" s="6" t="n"/>
      <c r="K80" s="6" t="n"/>
      <c r="L80" s="7">
        <f>IF(OR(G80="",J80="",I80=""),"",ABS(G80-J80)*I80)</f>
        <v/>
      </c>
      <c r="M80" s="7">
        <f>IF(OR(G80="",H80="",I80="",F80=""),"",IF(F80="Long",(H80-G80)*I80,(G80-H80)*I80))</f>
        <v/>
      </c>
      <c r="N80" s="6">
        <f>IF(OR(M80="",L80="",L80=0),"",M80/L80)</f>
        <v/>
      </c>
      <c r="O80">
        <f>IF(M80="","",IF(M80&gt;0,"Win",IF(M80&lt;0,"Loss","Scratch")))</f>
        <v/>
      </c>
    </row>
    <row r="81">
      <c r="A81" s="5" t="n"/>
      <c r="G81" s="6" t="n"/>
      <c r="H81" s="6" t="n"/>
      <c r="J81" s="6" t="n"/>
      <c r="K81" s="6" t="n"/>
      <c r="L81" s="7">
        <f>IF(OR(G81="",J81="",I81=""),"",ABS(G81-J81)*I81)</f>
        <v/>
      </c>
      <c r="M81" s="7">
        <f>IF(OR(G81="",H81="",I81="",F81=""),"",IF(F81="Long",(H81-G81)*I81,(G81-H81)*I81))</f>
        <v/>
      </c>
      <c r="N81" s="6">
        <f>IF(OR(M81="",L81="",L81=0),"",M81/L81)</f>
        <v/>
      </c>
      <c r="O81">
        <f>IF(M81="","",IF(M81&gt;0,"Win",IF(M81&lt;0,"Loss","Scratch")))</f>
        <v/>
      </c>
    </row>
    <row r="82">
      <c r="A82" s="5" t="n"/>
      <c r="G82" s="6" t="n"/>
      <c r="H82" s="6" t="n"/>
      <c r="J82" s="6" t="n"/>
      <c r="K82" s="6" t="n"/>
      <c r="L82" s="7">
        <f>IF(OR(G82="",J82="",I82=""),"",ABS(G82-J82)*I82)</f>
        <v/>
      </c>
      <c r="M82" s="7">
        <f>IF(OR(G82="",H82="",I82="",F82=""),"",IF(F82="Long",(H82-G82)*I82,(G82-H82)*I82))</f>
        <v/>
      </c>
      <c r="N82" s="6">
        <f>IF(OR(M82="",L82="",L82=0),"",M82/L82)</f>
        <v/>
      </c>
      <c r="O82">
        <f>IF(M82="","",IF(M82&gt;0,"Win",IF(M82&lt;0,"Loss","Scratch")))</f>
        <v/>
      </c>
    </row>
    <row r="83">
      <c r="A83" s="5" t="n"/>
      <c r="G83" s="6" t="n"/>
      <c r="H83" s="6" t="n"/>
      <c r="J83" s="6" t="n"/>
      <c r="K83" s="6" t="n"/>
      <c r="L83" s="7">
        <f>IF(OR(G83="",J83="",I83=""),"",ABS(G83-J83)*I83)</f>
        <v/>
      </c>
      <c r="M83" s="7">
        <f>IF(OR(G83="",H83="",I83="",F83=""),"",IF(F83="Long",(H83-G83)*I83,(G83-H83)*I83))</f>
        <v/>
      </c>
      <c r="N83" s="6">
        <f>IF(OR(M83="",L83="",L83=0),"",M83/L83)</f>
        <v/>
      </c>
      <c r="O83">
        <f>IF(M83="","",IF(M83&gt;0,"Win",IF(M83&lt;0,"Loss","Scratch")))</f>
        <v/>
      </c>
    </row>
    <row r="84">
      <c r="A84" s="5" t="n"/>
      <c r="G84" s="6" t="n"/>
      <c r="H84" s="6" t="n"/>
      <c r="J84" s="6" t="n"/>
      <c r="K84" s="6" t="n"/>
      <c r="L84" s="7">
        <f>IF(OR(G84="",J84="",I84=""),"",ABS(G84-J84)*I84)</f>
        <v/>
      </c>
      <c r="M84" s="7">
        <f>IF(OR(G84="",H84="",I84="",F84=""),"",IF(F84="Long",(H84-G84)*I84,(G84-H84)*I84))</f>
        <v/>
      </c>
      <c r="N84" s="6">
        <f>IF(OR(M84="",L84="",L84=0),"",M84/L84)</f>
        <v/>
      </c>
      <c r="O84">
        <f>IF(M84="","",IF(M84&gt;0,"Win",IF(M84&lt;0,"Loss","Scratch")))</f>
        <v/>
      </c>
    </row>
    <row r="85">
      <c r="A85" s="5" t="n"/>
      <c r="G85" s="6" t="n"/>
      <c r="H85" s="6" t="n"/>
      <c r="J85" s="6" t="n"/>
      <c r="K85" s="6" t="n"/>
      <c r="L85" s="7">
        <f>IF(OR(G85="",J85="",I85=""),"",ABS(G85-J85)*I85)</f>
        <v/>
      </c>
      <c r="M85" s="7">
        <f>IF(OR(G85="",H85="",I85="",F85=""),"",IF(F85="Long",(H85-G85)*I85,(G85-H85)*I85))</f>
        <v/>
      </c>
      <c r="N85" s="6">
        <f>IF(OR(M85="",L85="",L85=0),"",M85/L85)</f>
        <v/>
      </c>
      <c r="O85">
        <f>IF(M85="","",IF(M85&gt;0,"Win",IF(M85&lt;0,"Loss","Scratch")))</f>
        <v/>
      </c>
    </row>
    <row r="86">
      <c r="A86" s="5" t="n"/>
      <c r="G86" s="6" t="n"/>
      <c r="H86" s="6" t="n"/>
      <c r="J86" s="6" t="n"/>
      <c r="K86" s="6" t="n"/>
      <c r="L86" s="7">
        <f>IF(OR(G86="",J86="",I86=""),"",ABS(G86-J86)*I86)</f>
        <v/>
      </c>
      <c r="M86" s="7">
        <f>IF(OR(G86="",H86="",I86="",F86=""),"",IF(F86="Long",(H86-G86)*I86,(G86-H86)*I86))</f>
        <v/>
      </c>
      <c r="N86" s="6">
        <f>IF(OR(M86="",L86="",L86=0),"",M86/L86)</f>
        <v/>
      </c>
      <c r="O86">
        <f>IF(M86="","",IF(M86&gt;0,"Win",IF(M86&lt;0,"Loss","Scratch")))</f>
        <v/>
      </c>
    </row>
    <row r="87">
      <c r="A87" s="5" t="n"/>
      <c r="G87" s="6" t="n"/>
      <c r="H87" s="6" t="n"/>
      <c r="J87" s="6" t="n"/>
      <c r="K87" s="6" t="n"/>
      <c r="L87" s="7">
        <f>IF(OR(G87="",J87="",I87=""),"",ABS(G87-J87)*I87)</f>
        <v/>
      </c>
      <c r="M87" s="7">
        <f>IF(OR(G87="",H87="",I87="",F87=""),"",IF(F87="Long",(H87-G87)*I87,(G87-H87)*I87))</f>
        <v/>
      </c>
      <c r="N87" s="6">
        <f>IF(OR(M87="",L87="",L87=0),"",M87/L87)</f>
        <v/>
      </c>
      <c r="O87">
        <f>IF(M87="","",IF(M87&gt;0,"Win",IF(M87&lt;0,"Loss","Scratch")))</f>
        <v/>
      </c>
    </row>
    <row r="88">
      <c r="A88" s="5" t="n"/>
      <c r="G88" s="6" t="n"/>
      <c r="H88" s="6" t="n"/>
      <c r="J88" s="6" t="n"/>
      <c r="K88" s="6" t="n"/>
      <c r="L88" s="7">
        <f>IF(OR(G88="",J88="",I88=""),"",ABS(G88-J88)*I88)</f>
        <v/>
      </c>
      <c r="M88" s="7">
        <f>IF(OR(G88="",H88="",I88="",F88=""),"",IF(F88="Long",(H88-G88)*I88,(G88-H88)*I88))</f>
        <v/>
      </c>
      <c r="N88" s="6">
        <f>IF(OR(M88="",L88="",L88=0),"",M88/L88)</f>
        <v/>
      </c>
      <c r="O88">
        <f>IF(M88="","",IF(M88&gt;0,"Win",IF(M88&lt;0,"Loss","Scratch")))</f>
        <v/>
      </c>
    </row>
    <row r="89">
      <c r="A89" s="5" t="n"/>
      <c r="G89" s="6" t="n"/>
      <c r="H89" s="6" t="n"/>
      <c r="J89" s="6" t="n"/>
      <c r="K89" s="6" t="n"/>
      <c r="L89" s="7">
        <f>IF(OR(G89="",J89="",I89=""),"",ABS(G89-J89)*I89)</f>
        <v/>
      </c>
      <c r="M89" s="7">
        <f>IF(OR(G89="",H89="",I89="",F89=""),"",IF(F89="Long",(H89-G89)*I89,(G89-H89)*I89))</f>
        <v/>
      </c>
      <c r="N89" s="6">
        <f>IF(OR(M89="",L89="",L89=0),"",M89/L89)</f>
        <v/>
      </c>
      <c r="O89">
        <f>IF(M89="","",IF(M89&gt;0,"Win",IF(M89&lt;0,"Loss","Scratch")))</f>
        <v/>
      </c>
    </row>
    <row r="90">
      <c r="A90" s="5" t="n"/>
      <c r="G90" s="6" t="n"/>
      <c r="H90" s="6" t="n"/>
      <c r="J90" s="6" t="n"/>
      <c r="K90" s="6" t="n"/>
      <c r="L90" s="7">
        <f>IF(OR(G90="",J90="",I90=""),"",ABS(G90-J90)*I90)</f>
        <v/>
      </c>
      <c r="M90" s="7">
        <f>IF(OR(G90="",H90="",I90="",F90=""),"",IF(F90="Long",(H90-G90)*I90,(G90-H90)*I90))</f>
        <v/>
      </c>
      <c r="N90" s="6">
        <f>IF(OR(M90="",L90="",L90=0),"",M90/L90)</f>
        <v/>
      </c>
      <c r="O90">
        <f>IF(M90="","",IF(M90&gt;0,"Win",IF(M90&lt;0,"Loss","Scratch")))</f>
        <v/>
      </c>
    </row>
    <row r="91">
      <c r="A91" s="5" t="n"/>
      <c r="G91" s="6" t="n"/>
      <c r="H91" s="6" t="n"/>
      <c r="J91" s="6" t="n"/>
      <c r="K91" s="6" t="n"/>
      <c r="L91" s="7">
        <f>IF(OR(G91="",J91="",I91=""),"",ABS(G91-J91)*I91)</f>
        <v/>
      </c>
      <c r="M91" s="7">
        <f>IF(OR(G91="",H91="",I91="",F91=""),"",IF(F91="Long",(H91-G91)*I91,(G91-H91)*I91))</f>
        <v/>
      </c>
      <c r="N91" s="6">
        <f>IF(OR(M91="",L91="",L91=0),"",M91/L91)</f>
        <v/>
      </c>
      <c r="O91">
        <f>IF(M91="","",IF(M91&gt;0,"Win",IF(M91&lt;0,"Loss","Scratch")))</f>
        <v/>
      </c>
    </row>
    <row r="92">
      <c r="A92" s="5" t="n"/>
      <c r="G92" s="6" t="n"/>
      <c r="H92" s="6" t="n"/>
      <c r="J92" s="6" t="n"/>
      <c r="K92" s="6" t="n"/>
      <c r="L92" s="7">
        <f>IF(OR(G92="",J92="",I92=""),"",ABS(G92-J92)*I92)</f>
        <v/>
      </c>
      <c r="M92" s="7">
        <f>IF(OR(G92="",H92="",I92="",F92=""),"",IF(F92="Long",(H92-G92)*I92,(G92-H92)*I92))</f>
        <v/>
      </c>
      <c r="N92" s="6">
        <f>IF(OR(M92="",L92="",L92=0),"",M92/L92)</f>
        <v/>
      </c>
      <c r="O92">
        <f>IF(M92="","",IF(M92&gt;0,"Win",IF(M92&lt;0,"Loss","Scratch")))</f>
        <v/>
      </c>
    </row>
    <row r="93">
      <c r="A93" s="5" t="n"/>
      <c r="G93" s="6" t="n"/>
      <c r="H93" s="6" t="n"/>
      <c r="J93" s="6" t="n"/>
      <c r="K93" s="6" t="n"/>
      <c r="L93" s="7">
        <f>IF(OR(G93="",J93="",I93=""),"",ABS(G93-J93)*I93)</f>
        <v/>
      </c>
      <c r="M93" s="7">
        <f>IF(OR(G93="",H93="",I93="",F93=""),"",IF(F93="Long",(H93-G93)*I93,(G93-H93)*I93))</f>
        <v/>
      </c>
      <c r="N93" s="6">
        <f>IF(OR(M93="",L93="",L93=0),"",M93/L93)</f>
        <v/>
      </c>
      <c r="O93">
        <f>IF(M93="","",IF(M93&gt;0,"Win",IF(M93&lt;0,"Loss","Scratch")))</f>
        <v/>
      </c>
    </row>
    <row r="94">
      <c r="A94" s="5" t="n"/>
      <c r="G94" s="6" t="n"/>
      <c r="H94" s="6" t="n"/>
      <c r="J94" s="6" t="n"/>
      <c r="K94" s="6" t="n"/>
      <c r="L94" s="7">
        <f>IF(OR(G94="",J94="",I94=""),"",ABS(G94-J94)*I94)</f>
        <v/>
      </c>
      <c r="M94" s="7">
        <f>IF(OR(G94="",H94="",I94="",F94=""),"",IF(F94="Long",(H94-G94)*I94,(G94-H94)*I94))</f>
        <v/>
      </c>
      <c r="N94" s="6">
        <f>IF(OR(M94="",L94="",L94=0),"",M94/L94)</f>
        <v/>
      </c>
      <c r="O94">
        <f>IF(M94="","",IF(M94&gt;0,"Win",IF(M94&lt;0,"Loss","Scratch")))</f>
        <v/>
      </c>
    </row>
    <row r="95">
      <c r="A95" s="5" t="n"/>
      <c r="G95" s="6" t="n"/>
      <c r="H95" s="6" t="n"/>
      <c r="J95" s="6" t="n"/>
      <c r="K95" s="6" t="n"/>
      <c r="L95" s="7">
        <f>IF(OR(G95="",J95="",I95=""),"",ABS(G95-J95)*I95)</f>
        <v/>
      </c>
      <c r="M95" s="7">
        <f>IF(OR(G95="",H95="",I95="",F95=""),"",IF(F95="Long",(H95-G95)*I95,(G95-H95)*I95))</f>
        <v/>
      </c>
      <c r="N95" s="6">
        <f>IF(OR(M95="",L95="",L95=0),"",M95/L95)</f>
        <v/>
      </c>
      <c r="O95">
        <f>IF(M95="","",IF(M95&gt;0,"Win",IF(M95&lt;0,"Loss","Scratch")))</f>
        <v/>
      </c>
    </row>
    <row r="96">
      <c r="A96" s="5" t="n"/>
      <c r="G96" s="6" t="n"/>
      <c r="H96" s="6" t="n"/>
      <c r="J96" s="6" t="n"/>
      <c r="K96" s="6" t="n"/>
      <c r="L96" s="7">
        <f>IF(OR(G96="",J96="",I96=""),"",ABS(G96-J96)*I96)</f>
        <v/>
      </c>
      <c r="M96" s="7">
        <f>IF(OR(G96="",H96="",I96="",F96=""),"",IF(F96="Long",(H96-G96)*I96,(G96-H96)*I96))</f>
        <v/>
      </c>
      <c r="N96" s="6">
        <f>IF(OR(M96="",L96="",L96=0),"",M96/L96)</f>
        <v/>
      </c>
      <c r="O96">
        <f>IF(M96="","",IF(M96&gt;0,"Win",IF(M96&lt;0,"Loss","Scratch")))</f>
        <v/>
      </c>
    </row>
    <row r="97">
      <c r="A97" s="5" t="n"/>
      <c r="G97" s="6" t="n"/>
      <c r="H97" s="6" t="n"/>
      <c r="J97" s="6" t="n"/>
      <c r="K97" s="6" t="n"/>
      <c r="L97" s="7">
        <f>IF(OR(G97="",J97="",I97=""),"",ABS(G97-J97)*I97)</f>
        <v/>
      </c>
      <c r="M97" s="7">
        <f>IF(OR(G97="",H97="",I97="",F97=""),"",IF(F97="Long",(H97-G97)*I97,(G97-H97)*I97))</f>
        <v/>
      </c>
      <c r="N97" s="6">
        <f>IF(OR(M97="",L97="",L97=0),"",M97/L97)</f>
        <v/>
      </c>
      <c r="O97">
        <f>IF(M97="","",IF(M97&gt;0,"Win",IF(M97&lt;0,"Loss","Scratch")))</f>
        <v/>
      </c>
    </row>
    <row r="98">
      <c r="A98" s="5" t="n"/>
      <c r="G98" s="6" t="n"/>
      <c r="H98" s="6" t="n"/>
      <c r="J98" s="6" t="n"/>
      <c r="K98" s="6" t="n"/>
      <c r="L98" s="7">
        <f>IF(OR(G98="",J98="",I98=""),"",ABS(G98-J98)*I98)</f>
        <v/>
      </c>
      <c r="M98" s="7">
        <f>IF(OR(G98="",H98="",I98="",F98=""),"",IF(F98="Long",(H98-G98)*I98,(G98-H98)*I98))</f>
        <v/>
      </c>
      <c r="N98" s="6">
        <f>IF(OR(M98="",L98="",L98=0),"",M98/L98)</f>
        <v/>
      </c>
      <c r="O98">
        <f>IF(M98="","",IF(M98&gt;0,"Win",IF(M98&lt;0,"Loss","Scratch")))</f>
        <v/>
      </c>
    </row>
    <row r="99">
      <c r="A99" s="5" t="n"/>
      <c r="G99" s="6" t="n"/>
      <c r="H99" s="6" t="n"/>
      <c r="J99" s="6" t="n"/>
      <c r="K99" s="6" t="n"/>
      <c r="L99" s="7">
        <f>IF(OR(G99="",J99="",I99=""),"",ABS(G99-J99)*I99)</f>
        <v/>
      </c>
      <c r="M99" s="7">
        <f>IF(OR(G99="",H99="",I99="",F99=""),"",IF(F99="Long",(H99-G99)*I99,(G99-H99)*I99))</f>
        <v/>
      </c>
      <c r="N99" s="6">
        <f>IF(OR(M99="",L99="",L99=0),"",M99/L99)</f>
        <v/>
      </c>
      <c r="O99">
        <f>IF(M99="","",IF(M99&gt;0,"Win",IF(M99&lt;0,"Loss","Scratch")))</f>
        <v/>
      </c>
    </row>
    <row r="100">
      <c r="A100" s="5" t="n"/>
      <c r="G100" s="6" t="n"/>
      <c r="H100" s="6" t="n"/>
      <c r="J100" s="6" t="n"/>
      <c r="K100" s="6" t="n"/>
      <c r="L100" s="7">
        <f>IF(OR(G100="",J100="",I100=""),"",ABS(G100-J100)*I100)</f>
        <v/>
      </c>
      <c r="M100" s="7">
        <f>IF(OR(G100="",H100="",I100="",F100=""),"",IF(F100="Long",(H100-G100)*I100,(G100-H100)*I100))</f>
        <v/>
      </c>
      <c r="N100" s="6">
        <f>IF(OR(M100="",L100="",L100=0),"",M100/L100)</f>
        <v/>
      </c>
      <c r="O100">
        <f>IF(M100="","",IF(M100&gt;0,"Win",IF(M100&lt;0,"Loss","Scratch")))</f>
        <v/>
      </c>
    </row>
    <row r="101">
      <c r="A101" s="5" t="n"/>
      <c r="G101" s="6" t="n"/>
      <c r="H101" s="6" t="n"/>
      <c r="J101" s="6" t="n"/>
      <c r="K101" s="6" t="n"/>
      <c r="L101" s="7">
        <f>IF(OR(G101="",J101="",I101=""),"",ABS(G101-J101)*I101)</f>
        <v/>
      </c>
      <c r="M101" s="7">
        <f>IF(OR(G101="",H101="",I101="",F101=""),"",IF(F101="Long",(H101-G101)*I101,(G101-H101)*I101))</f>
        <v/>
      </c>
      <c r="N101" s="6">
        <f>IF(OR(M101="",L101="",L101=0),"",M101/L101)</f>
        <v/>
      </c>
      <c r="O101">
        <f>IF(M101="","",IF(M101&gt;0,"Win",IF(M101&lt;0,"Loss","Scratch")))</f>
        <v/>
      </c>
    </row>
    <row r="102">
      <c r="A102" s="5" t="n"/>
      <c r="G102" s="6" t="n"/>
      <c r="H102" s="6" t="n"/>
      <c r="J102" s="6" t="n"/>
      <c r="K102" s="6" t="n"/>
      <c r="L102" s="7">
        <f>IF(OR(G102="",J102="",I102=""),"",ABS(G102-J102)*I102)</f>
        <v/>
      </c>
      <c r="M102" s="7">
        <f>IF(OR(G102="",H102="",I102="",F102=""),"",IF(F102="Long",(H102-G102)*I102,(G102-H102)*I102))</f>
        <v/>
      </c>
      <c r="N102" s="6">
        <f>IF(OR(M102="",L102="",L102=0),"",M102/L102)</f>
        <v/>
      </c>
      <c r="O102">
        <f>IF(M102="","",IF(M102&gt;0,"Win",IF(M102&lt;0,"Loss","Scratch")))</f>
        <v/>
      </c>
    </row>
    <row r="103">
      <c r="A103" s="5" t="n"/>
      <c r="G103" s="6" t="n"/>
      <c r="H103" s="6" t="n"/>
      <c r="J103" s="6" t="n"/>
      <c r="K103" s="6" t="n"/>
      <c r="L103" s="7">
        <f>IF(OR(G103="",J103="",I103=""),"",ABS(G103-J103)*I103)</f>
        <v/>
      </c>
      <c r="M103" s="7">
        <f>IF(OR(G103="",H103="",I103="",F103=""),"",IF(F103="Long",(H103-G103)*I103,(G103-H103)*I103))</f>
        <v/>
      </c>
      <c r="N103" s="6">
        <f>IF(OR(M103="",L103="",L103=0),"",M103/L103)</f>
        <v/>
      </c>
      <c r="O103">
        <f>IF(M103="","",IF(M103&gt;0,"Win",IF(M103&lt;0,"Loss","Scratch")))</f>
        <v/>
      </c>
    </row>
    <row r="104">
      <c r="A104" s="5" t="n"/>
      <c r="G104" s="6" t="n"/>
      <c r="H104" s="6" t="n"/>
      <c r="J104" s="6" t="n"/>
      <c r="K104" s="6" t="n"/>
      <c r="L104" s="7">
        <f>IF(OR(G104="",J104="",I104=""),"",ABS(G104-J104)*I104)</f>
        <v/>
      </c>
      <c r="M104" s="7">
        <f>IF(OR(G104="",H104="",I104="",F104=""),"",IF(F104="Long",(H104-G104)*I104,(G104-H104)*I104))</f>
        <v/>
      </c>
      <c r="N104" s="6">
        <f>IF(OR(M104="",L104="",L104=0),"",M104/L104)</f>
        <v/>
      </c>
      <c r="O104">
        <f>IF(M104="","",IF(M104&gt;0,"Win",IF(M104&lt;0,"Loss","Scratch")))</f>
        <v/>
      </c>
    </row>
    <row r="105">
      <c r="A105" s="5" t="n"/>
      <c r="G105" s="6" t="n"/>
      <c r="H105" s="6" t="n"/>
      <c r="J105" s="6" t="n"/>
      <c r="K105" s="6" t="n"/>
      <c r="L105" s="7">
        <f>IF(OR(G105="",J105="",I105=""),"",ABS(G105-J105)*I105)</f>
        <v/>
      </c>
      <c r="M105" s="7">
        <f>IF(OR(G105="",H105="",I105="",F105=""),"",IF(F105="Long",(H105-G105)*I105,(G105-H105)*I105))</f>
        <v/>
      </c>
      <c r="N105" s="6">
        <f>IF(OR(M105="",L105="",L105=0),"",M105/L105)</f>
        <v/>
      </c>
      <c r="O105">
        <f>IF(M105="","",IF(M105&gt;0,"Win",IF(M105&lt;0,"Loss","Scratch")))</f>
        <v/>
      </c>
    </row>
    <row r="106">
      <c r="A106" s="5" t="n"/>
      <c r="G106" s="6" t="n"/>
      <c r="H106" s="6" t="n"/>
      <c r="J106" s="6" t="n"/>
      <c r="K106" s="6" t="n"/>
      <c r="L106" s="7">
        <f>IF(OR(G106="",J106="",I106=""),"",ABS(G106-J106)*I106)</f>
        <v/>
      </c>
      <c r="M106" s="7">
        <f>IF(OR(G106="",H106="",I106="",F106=""),"",IF(F106="Long",(H106-G106)*I106,(G106-H106)*I106))</f>
        <v/>
      </c>
      <c r="N106" s="6">
        <f>IF(OR(M106="",L106="",L106=0),"",M106/L106)</f>
        <v/>
      </c>
      <c r="O106">
        <f>IF(M106="","",IF(M106&gt;0,"Win",IF(M106&lt;0,"Loss","Scratch")))</f>
        <v/>
      </c>
    </row>
    <row r="107">
      <c r="A107" s="5" t="n"/>
      <c r="G107" s="6" t="n"/>
      <c r="H107" s="6" t="n"/>
      <c r="J107" s="6" t="n"/>
      <c r="K107" s="6" t="n"/>
      <c r="L107" s="7">
        <f>IF(OR(G107="",J107="",I107=""),"",ABS(G107-J107)*I107)</f>
        <v/>
      </c>
      <c r="M107" s="7">
        <f>IF(OR(G107="",H107="",I107="",F107=""),"",IF(F107="Long",(H107-G107)*I107,(G107-H107)*I107))</f>
        <v/>
      </c>
      <c r="N107" s="6">
        <f>IF(OR(M107="",L107="",L107=0),"",M107/L107)</f>
        <v/>
      </c>
      <c r="O107">
        <f>IF(M107="","",IF(M107&gt;0,"Win",IF(M107&lt;0,"Loss","Scratch")))</f>
        <v/>
      </c>
    </row>
    <row r="108">
      <c r="A108" s="5" t="n"/>
      <c r="G108" s="6" t="n"/>
      <c r="H108" s="6" t="n"/>
      <c r="J108" s="6" t="n"/>
      <c r="K108" s="6" t="n"/>
      <c r="L108" s="7">
        <f>IF(OR(G108="",J108="",I108=""),"",ABS(G108-J108)*I108)</f>
        <v/>
      </c>
      <c r="M108" s="7">
        <f>IF(OR(G108="",H108="",I108="",F108=""),"",IF(F108="Long",(H108-G108)*I108,(G108-H108)*I108))</f>
        <v/>
      </c>
      <c r="N108" s="6">
        <f>IF(OR(M108="",L108="",L108=0),"",M108/L108)</f>
        <v/>
      </c>
      <c r="O108">
        <f>IF(M108="","",IF(M108&gt;0,"Win",IF(M108&lt;0,"Loss","Scratch")))</f>
        <v/>
      </c>
    </row>
    <row r="109">
      <c r="A109" s="5" t="n"/>
      <c r="G109" s="6" t="n"/>
      <c r="H109" s="6" t="n"/>
      <c r="J109" s="6" t="n"/>
      <c r="K109" s="6" t="n"/>
      <c r="L109" s="7">
        <f>IF(OR(G109="",J109="",I109=""),"",ABS(G109-J109)*I109)</f>
        <v/>
      </c>
      <c r="M109" s="7">
        <f>IF(OR(G109="",H109="",I109="",F109=""),"",IF(F109="Long",(H109-G109)*I109,(G109-H109)*I109))</f>
        <v/>
      </c>
      <c r="N109" s="6">
        <f>IF(OR(M109="",L109="",L109=0),"",M109/L109)</f>
        <v/>
      </c>
      <c r="O109">
        <f>IF(M109="","",IF(M109&gt;0,"Win",IF(M109&lt;0,"Loss","Scratch")))</f>
        <v/>
      </c>
    </row>
    <row r="110">
      <c r="A110" s="5" t="n"/>
      <c r="G110" s="6" t="n"/>
      <c r="H110" s="6" t="n"/>
      <c r="J110" s="6" t="n"/>
      <c r="K110" s="6" t="n"/>
      <c r="L110" s="7">
        <f>IF(OR(G110="",J110="",I110=""),"",ABS(G110-J110)*I110)</f>
        <v/>
      </c>
      <c r="M110" s="7">
        <f>IF(OR(G110="",H110="",I110="",F110=""),"",IF(F110="Long",(H110-G110)*I110,(G110-H110)*I110))</f>
        <v/>
      </c>
      <c r="N110" s="6">
        <f>IF(OR(M110="",L110="",L110=0),"",M110/L110)</f>
        <v/>
      </c>
      <c r="O110">
        <f>IF(M110="","",IF(M110&gt;0,"Win",IF(M110&lt;0,"Loss","Scratch")))</f>
        <v/>
      </c>
    </row>
    <row r="111">
      <c r="A111" s="5" t="n"/>
      <c r="G111" s="6" t="n"/>
      <c r="H111" s="6" t="n"/>
      <c r="J111" s="6" t="n"/>
      <c r="K111" s="6" t="n"/>
      <c r="L111" s="7">
        <f>IF(OR(G111="",J111="",I111=""),"",ABS(G111-J111)*I111)</f>
        <v/>
      </c>
      <c r="M111" s="7">
        <f>IF(OR(G111="",H111="",I111="",F111=""),"",IF(F111="Long",(H111-G111)*I111,(G111-H111)*I111))</f>
        <v/>
      </c>
      <c r="N111" s="6">
        <f>IF(OR(M111="",L111="",L111=0),"",M111/L111)</f>
        <v/>
      </c>
      <c r="O111">
        <f>IF(M111="","",IF(M111&gt;0,"Win",IF(M111&lt;0,"Loss","Scratch")))</f>
        <v/>
      </c>
    </row>
    <row r="112">
      <c r="A112" s="5" t="n"/>
      <c r="G112" s="6" t="n"/>
      <c r="H112" s="6" t="n"/>
      <c r="J112" s="6" t="n"/>
      <c r="K112" s="6" t="n"/>
      <c r="L112" s="7">
        <f>IF(OR(G112="",J112="",I112=""),"",ABS(G112-J112)*I112)</f>
        <v/>
      </c>
      <c r="M112" s="7">
        <f>IF(OR(G112="",H112="",I112="",F112=""),"",IF(F112="Long",(H112-G112)*I112,(G112-H112)*I112))</f>
        <v/>
      </c>
      <c r="N112" s="6">
        <f>IF(OR(M112="",L112="",L112=0),"",M112/L112)</f>
        <v/>
      </c>
      <c r="O112">
        <f>IF(M112="","",IF(M112&gt;0,"Win",IF(M112&lt;0,"Loss","Scratch")))</f>
        <v/>
      </c>
    </row>
    <row r="113">
      <c r="A113" s="5" t="n"/>
      <c r="G113" s="6" t="n"/>
      <c r="H113" s="6" t="n"/>
      <c r="J113" s="6" t="n"/>
      <c r="K113" s="6" t="n"/>
      <c r="L113" s="7">
        <f>IF(OR(G113="",J113="",I113=""),"",ABS(G113-J113)*I113)</f>
        <v/>
      </c>
      <c r="M113" s="7">
        <f>IF(OR(G113="",H113="",I113="",F113=""),"",IF(F113="Long",(H113-G113)*I113,(G113-H113)*I113))</f>
        <v/>
      </c>
      <c r="N113" s="6">
        <f>IF(OR(M113="",L113="",L113=0),"",M113/L113)</f>
        <v/>
      </c>
      <c r="O113">
        <f>IF(M113="","",IF(M113&gt;0,"Win",IF(M113&lt;0,"Loss","Scratch")))</f>
        <v/>
      </c>
    </row>
    <row r="114">
      <c r="A114" s="5" t="n"/>
      <c r="G114" s="6" t="n"/>
      <c r="H114" s="6" t="n"/>
      <c r="J114" s="6" t="n"/>
      <c r="K114" s="6" t="n"/>
      <c r="L114" s="7">
        <f>IF(OR(G114="",J114="",I114=""),"",ABS(G114-J114)*I114)</f>
        <v/>
      </c>
      <c r="M114" s="7">
        <f>IF(OR(G114="",H114="",I114="",F114=""),"",IF(F114="Long",(H114-G114)*I114,(G114-H114)*I114))</f>
        <v/>
      </c>
      <c r="N114" s="6">
        <f>IF(OR(M114="",L114="",L114=0),"",M114/L114)</f>
        <v/>
      </c>
      <c r="O114">
        <f>IF(M114="","",IF(M114&gt;0,"Win",IF(M114&lt;0,"Loss","Scratch")))</f>
        <v/>
      </c>
    </row>
    <row r="115">
      <c r="A115" s="5" t="n"/>
      <c r="G115" s="6" t="n"/>
      <c r="H115" s="6" t="n"/>
      <c r="J115" s="6" t="n"/>
      <c r="K115" s="6" t="n"/>
      <c r="L115" s="7">
        <f>IF(OR(G115="",J115="",I115=""),"",ABS(G115-J115)*I115)</f>
        <v/>
      </c>
      <c r="M115" s="7">
        <f>IF(OR(G115="",H115="",I115="",F115=""),"",IF(F115="Long",(H115-G115)*I115,(G115-H115)*I115))</f>
        <v/>
      </c>
      <c r="N115" s="6">
        <f>IF(OR(M115="",L115="",L115=0),"",M115/L115)</f>
        <v/>
      </c>
      <c r="O115">
        <f>IF(M115="","",IF(M115&gt;0,"Win",IF(M115&lt;0,"Loss","Scratch")))</f>
        <v/>
      </c>
    </row>
    <row r="116">
      <c r="A116" s="5" t="n"/>
      <c r="G116" s="6" t="n"/>
      <c r="H116" s="6" t="n"/>
      <c r="J116" s="6" t="n"/>
      <c r="K116" s="6" t="n"/>
      <c r="L116" s="7">
        <f>IF(OR(G116="",J116="",I116=""),"",ABS(G116-J116)*I116)</f>
        <v/>
      </c>
      <c r="M116" s="7">
        <f>IF(OR(G116="",H116="",I116="",F116=""),"",IF(F116="Long",(H116-G116)*I116,(G116-H116)*I116))</f>
        <v/>
      </c>
      <c r="N116" s="6">
        <f>IF(OR(M116="",L116="",L116=0),"",M116/L116)</f>
        <v/>
      </c>
      <c r="O116">
        <f>IF(M116="","",IF(M116&gt;0,"Win",IF(M116&lt;0,"Loss","Scratch")))</f>
        <v/>
      </c>
    </row>
    <row r="117">
      <c r="A117" s="5" t="n"/>
      <c r="G117" s="6" t="n"/>
      <c r="H117" s="6" t="n"/>
      <c r="J117" s="6" t="n"/>
      <c r="K117" s="6" t="n"/>
      <c r="L117" s="7">
        <f>IF(OR(G117="",J117="",I117=""),"",ABS(G117-J117)*I117)</f>
        <v/>
      </c>
      <c r="M117" s="7">
        <f>IF(OR(G117="",H117="",I117="",F117=""),"",IF(F117="Long",(H117-G117)*I117,(G117-H117)*I117))</f>
        <v/>
      </c>
      <c r="N117" s="6">
        <f>IF(OR(M117="",L117="",L117=0),"",M117/L117)</f>
        <v/>
      </c>
      <c r="O117">
        <f>IF(M117="","",IF(M117&gt;0,"Win",IF(M117&lt;0,"Loss","Scratch")))</f>
        <v/>
      </c>
    </row>
    <row r="118">
      <c r="A118" s="5" t="n"/>
      <c r="G118" s="6" t="n"/>
      <c r="H118" s="6" t="n"/>
      <c r="J118" s="6" t="n"/>
      <c r="K118" s="6" t="n"/>
      <c r="L118" s="7">
        <f>IF(OR(G118="",J118="",I118=""),"",ABS(G118-J118)*I118)</f>
        <v/>
      </c>
      <c r="M118" s="7">
        <f>IF(OR(G118="",H118="",I118="",F118=""),"",IF(F118="Long",(H118-G118)*I118,(G118-H118)*I118))</f>
        <v/>
      </c>
      <c r="N118" s="6">
        <f>IF(OR(M118="",L118="",L118=0),"",M118/L118)</f>
        <v/>
      </c>
      <c r="O118">
        <f>IF(M118="","",IF(M118&gt;0,"Win",IF(M118&lt;0,"Loss","Scratch")))</f>
        <v/>
      </c>
    </row>
    <row r="119">
      <c r="A119" s="5" t="n"/>
      <c r="G119" s="6" t="n"/>
      <c r="H119" s="6" t="n"/>
      <c r="J119" s="6" t="n"/>
      <c r="K119" s="6" t="n"/>
      <c r="L119" s="7">
        <f>IF(OR(G119="",J119="",I119=""),"",ABS(G119-J119)*I119)</f>
        <v/>
      </c>
      <c r="M119" s="7">
        <f>IF(OR(G119="",H119="",I119="",F119=""),"",IF(F119="Long",(H119-G119)*I119,(G119-H119)*I119))</f>
        <v/>
      </c>
      <c r="N119" s="6">
        <f>IF(OR(M119="",L119="",L119=0),"",M119/L119)</f>
        <v/>
      </c>
      <c r="O119">
        <f>IF(M119="","",IF(M119&gt;0,"Win",IF(M119&lt;0,"Loss","Scratch")))</f>
        <v/>
      </c>
    </row>
    <row r="120">
      <c r="A120" s="5" t="n"/>
      <c r="G120" s="6" t="n"/>
      <c r="H120" s="6" t="n"/>
      <c r="J120" s="6" t="n"/>
      <c r="K120" s="6" t="n"/>
      <c r="L120" s="7">
        <f>IF(OR(G120="",J120="",I120=""),"",ABS(G120-J120)*I120)</f>
        <v/>
      </c>
      <c r="M120" s="7">
        <f>IF(OR(G120="",H120="",I120="",F120=""),"",IF(F120="Long",(H120-G120)*I120,(G120-H120)*I120))</f>
        <v/>
      </c>
      <c r="N120" s="6">
        <f>IF(OR(M120="",L120="",L120=0),"",M120/L120)</f>
        <v/>
      </c>
      <c r="O120">
        <f>IF(M120="","",IF(M120&gt;0,"Win",IF(M120&lt;0,"Loss","Scratch")))</f>
        <v/>
      </c>
    </row>
    <row r="121">
      <c r="A121" s="5" t="n"/>
      <c r="G121" s="6" t="n"/>
      <c r="H121" s="6" t="n"/>
      <c r="J121" s="6" t="n"/>
      <c r="K121" s="6" t="n"/>
      <c r="L121" s="7">
        <f>IF(OR(G121="",J121="",I121=""),"",ABS(G121-J121)*I121)</f>
        <v/>
      </c>
      <c r="M121" s="7">
        <f>IF(OR(G121="",H121="",I121="",F121=""),"",IF(F121="Long",(H121-G121)*I121,(G121-H121)*I121))</f>
        <v/>
      </c>
      <c r="N121" s="6">
        <f>IF(OR(M121="",L121="",L121=0),"",M121/L121)</f>
        <v/>
      </c>
      <c r="O121">
        <f>IF(M121="","",IF(M121&gt;0,"Win",IF(M121&lt;0,"Loss","Scratch")))</f>
        <v/>
      </c>
    </row>
    <row r="122">
      <c r="A122" s="5" t="n"/>
      <c r="G122" s="6" t="n"/>
      <c r="H122" s="6" t="n"/>
      <c r="J122" s="6" t="n"/>
      <c r="K122" s="6" t="n"/>
      <c r="L122" s="7">
        <f>IF(OR(G122="",J122="",I122=""),"",ABS(G122-J122)*I122)</f>
        <v/>
      </c>
      <c r="M122" s="7">
        <f>IF(OR(G122="",H122="",I122="",F122=""),"",IF(F122="Long",(H122-G122)*I122,(G122-H122)*I122))</f>
        <v/>
      </c>
      <c r="N122" s="6">
        <f>IF(OR(M122="",L122="",L122=0),"",M122/L122)</f>
        <v/>
      </c>
      <c r="O122">
        <f>IF(M122="","",IF(M122&gt;0,"Win",IF(M122&lt;0,"Loss","Scratch")))</f>
        <v/>
      </c>
    </row>
    <row r="123">
      <c r="A123" s="5" t="n"/>
      <c r="G123" s="6" t="n"/>
      <c r="H123" s="6" t="n"/>
      <c r="J123" s="6" t="n"/>
      <c r="K123" s="6" t="n"/>
      <c r="L123" s="7">
        <f>IF(OR(G123="",J123="",I123=""),"",ABS(G123-J123)*I123)</f>
        <v/>
      </c>
      <c r="M123" s="7">
        <f>IF(OR(G123="",H123="",I123="",F123=""),"",IF(F123="Long",(H123-G123)*I123,(G123-H123)*I123))</f>
        <v/>
      </c>
      <c r="N123" s="6">
        <f>IF(OR(M123="",L123="",L123=0),"",M123/L123)</f>
        <v/>
      </c>
      <c r="O123">
        <f>IF(M123="","",IF(M123&gt;0,"Win",IF(M123&lt;0,"Loss","Scratch")))</f>
        <v/>
      </c>
    </row>
    <row r="124">
      <c r="A124" s="5" t="n"/>
      <c r="G124" s="6" t="n"/>
      <c r="H124" s="6" t="n"/>
      <c r="J124" s="6" t="n"/>
      <c r="K124" s="6" t="n"/>
      <c r="L124" s="7">
        <f>IF(OR(G124="",J124="",I124=""),"",ABS(G124-J124)*I124)</f>
        <v/>
      </c>
      <c r="M124" s="7">
        <f>IF(OR(G124="",H124="",I124="",F124=""),"",IF(F124="Long",(H124-G124)*I124,(G124-H124)*I124))</f>
        <v/>
      </c>
      <c r="N124" s="6">
        <f>IF(OR(M124="",L124="",L124=0),"",M124/L124)</f>
        <v/>
      </c>
      <c r="O124">
        <f>IF(M124="","",IF(M124&gt;0,"Win",IF(M124&lt;0,"Loss","Scratch")))</f>
        <v/>
      </c>
    </row>
    <row r="125">
      <c r="A125" s="5" t="n"/>
      <c r="G125" s="6" t="n"/>
      <c r="H125" s="6" t="n"/>
      <c r="J125" s="6" t="n"/>
      <c r="K125" s="6" t="n"/>
      <c r="L125" s="7">
        <f>IF(OR(G125="",J125="",I125=""),"",ABS(G125-J125)*I125)</f>
        <v/>
      </c>
      <c r="M125" s="7">
        <f>IF(OR(G125="",H125="",I125="",F125=""),"",IF(F125="Long",(H125-G125)*I125,(G125-H125)*I125))</f>
        <v/>
      </c>
      <c r="N125" s="6">
        <f>IF(OR(M125="",L125="",L125=0),"",M125/L125)</f>
        <v/>
      </c>
      <c r="O125">
        <f>IF(M125="","",IF(M125&gt;0,"Win",IF(M125&lt;0,"Loss","Scratch")))</f>
        <v/>
      </c>
    </row>
    <row r="126">
      <c r="A126" s="5" t="n"/>
      <c r="G126" s="6" t="n"/>
      <c r="H126" s="6" t="n"/>
      <c r="J126" s="6" t="n"/>
      <c r="K126" s="6" t="n"/>
      <c r="L126" s="7">
        <f>IF(OR(G126="",J126="",I126=""),"",ABS(G126-J126)*I126)</f>
        <v/>
      </c>
      <c r="M126" s="7">
        <f>IF(OR(G126="",H126="",I126="",F126=""),"",IF(F126="Long",(H126-G126)*I126,(G126-H126)*I126))</f>
        <v/>
      </c>
      <c r="N126" s="6">
        <f>IF(OR(M126="",L126="",L126=0),"",M126/L126)</f>
        <v/>
      </c>
      <c r="O126">
        <f>IF(M126="","",IF(M126&gt;0,"Win",IF(M126&lt;0,"Loss","Scratch")))</f>
        <v/>
      </c>
    </row>
    <row r="127">
      <c r="A127" s="5" t="n"/>
      <c r="G127" s="6" t="n"/>
      <c r="H127" s="6" t="n"/>
      <c r="J127" s="6" t="n"/>
      <c r="K127" s="6" t="n"/>
      <c r="L127" s="7">
        <f>IF(OR(G127="",J127="",I127=""),"",ABS(G127-J127)*I127)</f>
        <v/>
      </c>
      <c r="M127" s="7">
        <f>IF(OR(G127="",H127="",I127="",F127=""),"",IF(F127="Long",(H127-G127)*I127,(G127-H127)*I127))</f>
        <v/>
      </c>
      <c r="N127" s="6">
        <f>IF(OR(M127="",L127="",L127=0),"",M127/L127)</f>
        <v/>
      </c>
      <c r="O127">
        <f>IF(M127="","",IF(M127&gt;0,"Win",IF(M127&lt;0,"Loss","Scratch")))</f>
        <v/>
      </c>
    </row>
    <row r="128">
      <c r="A128" s="5" t="n"/>
      <c r="G128" s="6" t="n"/>
      <c r="H128" s="6" t="n"/>
      <c r="J128" s="6" t="n"/>
      <c r="K128" s="6" t="n"/>
      <c r="L128" s="7">
        <f>IF(OR(G128="",J128="",I128=""),"",ABS(G128-J128)*I128)</f>
        <v/>
      </c>
      <c r="M128" s="7">
        <f>IF(OR(G128="",H128="",I128="",F128=""),"",IF(F128="Long",(H128-G128)*I128,(G128-H128)*I128))</f>
        <v/>
      </c>
      <c r="N128" s="6">
        <f>IF(OR(M128="",L128="",L128=0),"",M128/L128)</f>
        <v/>
      </c>
      <c r="O128">
        <f>IF(M128="","",IF(M128&gt;0,"Win",IF(M128&lt;0,"Loss","Scratch")))</f>
        <v/>
      </c>
    </row>
    <row r="129">
      <c r="A129" s="5" t="n"/>
      <c r="G129" s="6" t="n"/>
      <c r="H129" s="6" t="n"/>
      <c r="J129" s="6" t="n"/>
      <c r="K129" s="6" t="n"/>
      <c r="L129" s="7">
        <f>IF(OR(G129="",J129="",I129=""),"",ABS(G129-J129)*I129)</f>
        <v/>
      </c>
      <c r="M129" s="7">
        <f>IF(OR(G129="",H129="",I129="",F129=""),"",IF(F129="Long",(H129-G129)*I129,(G129-H129)*I129))</f>
        <v/>
      </c>
      <c r="N129" s="6">
        <f>IF(OR(M129="",L129="",L129=0),"",M129/L129)</f>
        <v/>
      </c>
      <c r="O129">
        <f>IF(M129="","",IF(M129&gt;0,"Win",IF(M129&lt;0,"Loss","Scratch")))</f>
        <v/>
      </c>
    </row>
    <row r="130">
      <c r="A130" s="5" t="n"/>
      <c r="G130" s="6" t="n"/>
      <c r="H130" s="6" t="n"/>
      <c r="J130" s="6" t="n"/>
      <c r="K130" s="6" t="n"/>
      <c r="L130" s="7">
        <f>IF(OR(G130="",J130="",I130=""),"",ABS(G130-J130)*I130)</f>
        <v/>
      </c>
      <c r="M130" s="7">
        <f>IF(OR(G130="",H130="",I130="",F130=""),"",IF(F130="Long",(H130-G130)*I130,(G130-H130)*I130))</f>
        <v/>
      </c>
      <c r="N130" s="6">
        <f>IF(OR(M130="",L130="",L130=0),"",M130/L130)</f>
        <v/>
      </c>
      <c r="O130">
        <f>IF(M130="","",IF(M130&gt;0,"Win",IF(M130&lt;0,"Loss","Scratch")))</f>
        <v/>
      </c>
    </row>
    <row r="131">
      <c r="A131" s="5" t="n"/>
      <c r="G131" s="6" t="n"/>
      <c r="H131" s="6" t="n"/>
      <c r="J131" s="6" t="n"/>
      <c r="K131" s="6" t="n"/>
      <c r="L131" s="7">
        <f>IF(OR(G131="",J131="",I131=""),"",ABS(G131-J131)*I131)</f>
        <v/>
      </c>
      <c r="M131" s="7">
        <f>IF(OR(G131="",H131="",I131="",F131=""),"",IF(F131="Long",(H131-G131)*I131,(G131-H131)*I131))</f>
        <v/>
      </c>
      <c r="N131" s="6">
        <f>IF(OR(M131="",L131="",L131=0),"",M131/L131)</f>
        <v/>
      </c>
      <c r="O131">
        <f>IF(M131="","",IF(M131&gt;0,"Win",IF(M131&lt;0,"Loss","Scratch")))</f>
        <v/>
      </c>
    </row>
    <row r="132">
      <c r="A132" s="5" t="n"/>
      <c r="G132" s="6" t="n"/>
      <c r="H132" s="6" t="n"/>
      <c r="J132" s="6" t="n"/>
      <c r="K132" s="6" t="n"/>
      <c r="L132" s="7">
        <f>IF(OR(G132="",J132="",I132=""),"",ABS(G132-J132)*I132)</f>
        <v/>
      </c>
      <c r="M132" s="7">
        <f>IF(OR(G132="",H132="",I132="",F132=""),"",IF(F132="Long",(H132-G132)*I132,(G132-H132)*I132))</f>
        <v/>
      </c>
      <c r="N132" s="6">
        <f>IF(OR(M132="",L132="",L132=0),"",M132/L132)</f>
        <v/>
      </c>
      <c r="O132">
        <f>IF(M132="","",IF(M132&gt;0,"Win",IF(M132&lt;0,"Loss","Scratch")))</f>
        <v/>
      </c>
    </row>
    <row r="133">
      <c r="A133" s="5" t="n"/>
      <c r="G133" s="6" t="n"/>
      <c r="H133" s="6" t="n"/>
      <c r="J133" s="6" t="n"/>
      <c r="K133" s="6" t="n"/>
      <c r="L133" s="7">
        <f>IF(OR(G133="",J133="",I133=""),"",ABS(G133-J133)*I133)</f>
        <v/>
      </c>
      <c r="M133" s="7">
        <f>IF(OR(G133="",H133="",I133="",F133=""),"",IF(F133="Long",(H133-G133)*I133,(G133-H133)*I133))</f>
        <v/>
      </c>
      <c r="N133" s="6">
        <f>IF(OR(M133="",L133="",L133=0),"",M133/L133)</f>
        <v/>
      </c>
      <c r="O133">
        <f>IF(M133="","",IF(M133&gt;0,"Win",IF(M133&lt;0,"Loss","Scratch")))</f>
        <v/>
      </c>
    </row>
    <row r="134">
      <c r="A134" s="5" t="n"/>
      <c r="G134" s="6" t="n"/>
      <c r="H134" s="6" t="n"/>
      <c r="J134" s="6" t="n"/>
      <c r="K134" s="6" t="n"/>
      <c r="L134" s="7">
        <f>IF(OR(G134="",J134="",I134=""),"",ABS(G134-J134)*I134)</f>
        <v/>
      </c>
      <c r="M134" s="7">
        <f>IF(OR(G134="",H134="",I134="",F134=""),"",IF(F134="Long",(H134-G134)*I134,(G134-H134)*I134))</f>
        <v/>
      </c>
      <c r="N134" s="6">
        <f>IF(OR(M134="",L134="",L134=0),"",M134/L134)</f>
        <v/>
      </c>
      <c r="O134">
        <f>IF(M134="","",IF(M134&gt;0,"Win",IF(M134&lt;0,"Loss","Scratch")))</f>
        <v/>
      </c>
    </row>
    <row r="135">
      <c r="A135" s="5" t="n"/>
      <c r="G135" s="6" t="n"/>
      <c r="H135" s="6" t="n"/>
      <c r="J135" s="6" t="n"/>
      <c r="K135" s="6" t="n"/>
      <c r="L135" s="7">
        <f>IF(OR(G135="",J135="",I135=""),"",ABS(G135-J135)*I135)</f>
        <v/>
      </c>
      <c r="M135" s="7">
        <f>IF(OR(G135="",H135="",I135="",F135=""),"",IF(F135="Long",(H135-G135)*I135,(G135-H135)*I135))</f>
        <v/>
      </c>
      <c r="N135" s="6">
        <f>IF(OR(M135="",L135="",L135=0),"",M135/L135)</f>
        <v/>
      </c>
      <c r="O135">
        <f>IF(M135="","",IF(M135&gt;0,"Win",IF(M135&lt;0,"Loss","Scratch")))</f>
        <v/>
      </c>
    </row>
    <row r="136">
      <c r="A136" s="5" t="n"/>
      <c r="G136" s="6" t="n"/>
      <c r="H136" s="6" t="n"/>
      <c r="J136" s="6" t="n"/>
      <c r="K136" s="6" t="n"/>
      <c r="L136" s="7">
        <f>IF(OR(G136="",J136="",I136=""),"",ABS(G136-J136)*I136)</f>
        <v/>
      </c>
      <c r="M136" s="7">
        <f>IF(OR(G136="",H136="",I136="",F136=""),"",IF(F136="Long",(H136-G136)*I136,(G136-H136)*I136))</f>
        <v/>
      </c>
      <c r="N136" s="6">
        <f>IF(OR(M136="",L136="",L136=0),"",M136/L136)</f>
        <v/>
      </c>
      <c r="O136">
        <f>IF(M136="","",IF(M136&gt;0,"Win",IF(M136&lt;0,"Loss","Scratch")))</f>
        <v/>
      </c>
    </row>
    <row r="137">
      <c r="A137" s="5" t="n"/>
      <c r="G137" s="6" t="n"/>
      <c r="H137" s="6" t="n"/>
      <c r="J137" s="6" t="n"/>
      <c r="K137" s="6" t="n"/>
      <c r="L137" s="7">
        <f>IF(OR(G137="",J137="",I137=""),"",ABS(G137-J137)*I137)</f>
        <v/>
      </c>
      <c r="M137" s="7">
        <f>IF(OR(G137="",H137="",I137="",F137=""),"",IF(F137="Long",(H137-G137)*I137,(G137-H137)*I137))</f>
        <v/>
      </c>
      <c r="N137" s="6">
        <f>IF(OR(M137="",L137="",L137=0),"",M137/L137)</f>
        <v/>
      </c>
      <c r="O137">
        <f>IF(M137="","",IF(M137&gt;0,"Win",IF(M137&lt;0,"Loss","Scratch")))</f>
        <v/>
      </c>
    </row>
    <row r="138">
      <c r="A138" s="5" t="n"/>
      <c r="G138" s="6" t="n"/>
      <c r="H138" s="6" t="n"/>
      <c r="J138" s="6" t="n"/>
      <c r="K138" s="6" t="n"/>
      <c r="L138" s="7">
        <f>IF(OR(G138="",J138="",I138=""),"",ABS(G138-J138)*I138)</f>
        <v/>
      </c>
      <c r="M138" s="7">
        <f>IF(OR(G138="",H138="",I138="",F138=""),"",IF(F138="Long",(H138-G138)*I138,(G138-H138)*I138))</f>
        <v/>
      </c>
      <c r="N138" s="6">
        <f>IF(OR(M138="",L138="",L138=0),"",M138/L138)</f>
        <v/>
      </c>
      <c r="O138">
        <f>IF(M138="","",IF(M138&gt;0,"Win",IF(M138&lt;0,"Loss","Scratch")))</f>
        <v/>
      </c>
    </row>
    <row r="139">
      <c r="A139" s="5" t="n"/>
      <c r="G139" s="6" t="n"/>
      <c r="H139" s="6" t="n"/>
      <c r="J139" s="6" t="n"/>
      <c r="K139" s="6" t="n"/>
      <c r="L139" s="7">
        <f>IF(OR(G139="",J139="",I139=""),"",ABS(G139-J139)*I139)</f>
        <v/>
      </c>
      <c r="M139" s="7">
        <f>IF(OR(G139="",H139="",I139="",F139=""),"",IF(F139="Long",(H139-G139)*I139,(G139-H139)*I139))</f>
        <v/>
      </c>
      <c r="N139" s="6">
        <f>IF(OR(M139="",L139="",L139=0),"",M139/L139)</f>
        <v/>
      </c>
      <c r="O139">
        <f>IF(M139="","",IF(M139&gt;0,"Win",IF(M139&lt;0,"Loss","Scratch")))</f>
        <v/>
      </c>
    </row>
    <row r="140">
      <c r="A140" s="5" t="n"/>
      <c r="G140" s="6" t="n"/>
      <c r="H140" s="6" t="n"/>
      <c r="J140" s="6" t="n"/>
      <c r="K140" s="6" t="n"/>
      <c r="L140" s="7">
        <f>IF(OR(G140="",J140="",I140=""),"",ABS(G140-J140)*I140)</f>
        <v/>
      </c>
      <c r="M140" s="7">
        <f>IF(OR(G140="",H140="",I140="",F140=""),"",IF(F140="Long",(H140-G140)*I140,(G140-H140)*I140))</f>
        <v/>
      </c>
      <c r="N140" s="6">
        <f>IF(OR(M140="",L140="",L140=0),"",M140/L140)</f>
        <v/>
      </c>
      <c r="O140">
        <f>IF(M140="","",IF(M140&gt;0,"Win",IF(M140&lt;0,"Loss","Scratch")))</f>
        <v/>
      </c>
    </row>
    <row r="141">
      <c r="A141" s="5" t="n"/>
      <c r="G141" s="6" t="n"/>
      <c r="H141" s="6" t="n"/>
      <c r="J141" s="6" t="n"/>
      <c r="K141" s="6" t="n"/>
      <c r="L141" s="7">
        <f>IF(OR(G141="",J141="",I141=""),"",ABS(G141-J141)*I141)</f>
        <v/>
      </c>
      <c r="M141" s="7">
        <f>IF(OR(G141="",H141="",I141="",F141=""),"",IF(F141="Long",(H141-G141)*I141,(G141-H141)*I141))</f>
        <v/>
      </c>
      <c r="N141" s="6">
        <f>IF(OR(M141="",L141="",L141=0),"",M141/L141)</f>
        <v/>
      </c>
      <c r="O141">
        <f>IF(M141="","",IF(M141&gt;0,"Win",IF(M141&lt;0,"Loss","Scratch")))</f>
        <v/>
      </c>
    </row>
    <row r="142">
      <c r="A142" s="5" t="n"/>
      <c r="G142" s="6" t="n"/>
      <c r="H142" s="6" t="n"/>
      <c r="J142" s="6" t="n"/>
      <c r="K142" s="6" t="n"/>
      <c r="L142" s="7">
        <f>IF(OR(G142="",J142="",I142=""),"",ABS(G142-J142)*I142)</f>
        <v/>
      </c>
      <c r="M142" s="7">
        <f>IF(OR(G142="",H142="",I142="",F142=""),"",IF(F142="Long",(H142-G142)*I142,(G142-H142)*I142))</f>
        <v/>
      </c>
      <c r="N142" s="6">
        <f>IF(OR(M142="",L142="",L142=0),"",M142/L142)</f>
        <v/>
      </c>
      <c r="O142">
        <f>IF(M142="","",IF(M142&gt;0,"Win",IF(M142&lt;0,"Loss","Scratch")))</f>
        <v/>
      </c>
    </row>
    <row r="143">
      <c r="A143" s="5" t="n"/>
      <c r="G143" s="6" t="n"/>
      <c r="H143" s="6" t="n"/>
      <c r="J143" s="6" t="n"/>
      <c r="K143" s="6" t="n"/>
      <c r="L143" s="7">
        <f>IF(OR(G143="",J143="",I143=""),"",ABS(G143-J143)*I143)</f>
        <v/>
      </c>
      <c r="M143" s="7">
        <f>IF(OR(G143="",H143="",I143="",F143=""),"",IF(F143="Long",(H143-G143)*I143,(G143-H143)*I143))</f>
        <v/>
      </c>
      <c r="N143" s="6">
        <f>IF(OR(M143="",L143="",L143=0),"",M143/L143)</f>
        <v/>
      </c>
      <c r="O143">
        <f>IF(M143="","",IF(M143&gt;0,"Win",IF(M143&lt;0,"Loss","Scratch")))</f>
        <v/>
      </c>
    </row>
    <row r="144">
      <c r="A144" s="5" t="n"/>
      <c r="G144" s="6" t="n"/>
      <c r="H144" s="6" t="n"/>
      <c r="J144" s="6" t="n"/>
      <c r="K144" s="6" t="n"/>
      <c r="L144" s="7">
        <f>IF(OR(G144="",J144="",I144=""),"",ABS(G144-J144)*I144)</f>
        <v/>
      </c>
      <c r="M144" s="7">
        <f>IF(OR(G144="",H144="",I144="",F144=""),"",IF(F144="Long",(H144-G144)*I144,(G144-H144)*I144))</f>
        <v/>
      </c>
      <c r="N144" s="6">
        <f>IF(OR(M144="",L144="",L144=0),"",M144/L144)</f>
        <v/>
      </c>
      <c r="O144">
        <f>IF(M144="","",IF(M144&gt;0,"Win",IF(M144&lt;0,"Loss","Scratch")))</f>
        <v/>
      </c>
    </row>
    <row r="145">
      <c r="A145" s="5" t="n"/>
      <c r="G145" s="6" t="n"/>
      <c r="H145" s="6" t="n"/>
      <c r="J145" s="6" t="n"/>
      <c r="K145" s="6" t="n"/>
      <c r="L145" s="7">
        <f>IF(OR(G145="",J145="",I145=""),"",ABS(G145-J145)*I145)</f>
        <v/>
      </c>
      <c r="M145" s="7">
        <f>IF(OR(G145="",H145="",I145="",F145=""),"",IF(F145="Long",(H145-G145)*I145,(G145-H145)*I145))</f>
        <v/>
      </c>
      <c r="N145" s="6">
        <f>IF(OR(M145="",L145="",L145=0),"",M145/L145)</f>
        <v/>
      </c>
      <c r="O145">
        <f>IF(M145="","",IF(M145&gt;0,"Win",IF(M145&lt;0,"Loss","Scratch")))</f>
        <v/>
      </c>
    </row>
    <row r="146">
      <c r="A146" s="5" t="n"/>
      <c r="G146" s="6" t="n"/>
      <c r="H146" s="6" t="n"/>
      <c r="J146" s="6" t="n"/>
      <c r="K146" s="6" t="n"/>
      <c r="L146" s="7">
        <f>IF(OR(G146="",J146="",I146=""),"",ABS(G146-J146)*I146)</f>
        <v/>
      </c>
      <c r="M146" s="7">
        <f>IF(OR(G146="",H146="",I146="",F146=""),"",IF(F146="Long",(H146-G146)*I146,(G146-H146)*I146))</f>
        <v/>
      </c>
      <c r="N146" s="6">
        <f>IF(OR(M146="",L146="",L146=0),"",M146/L146)</f>
        <v/>
      </c>
      <c r="O146">
        <f>IF(M146="","",IF(M146&gt;0,"Win",IF(M146&lt;0,"Loss","Scratch")))</f>
        <v/>
      </c>
    </row>
    <row r="147">
      <c r="A147" s="5" t="n"/>
      <c r="G147" s="6" t="n"/>
      <c r="H147" s="6" t="n"/>
      <c r="J147" s="6" t="n"/>
      <c r="K147" s="6" t="n"/>
      <c r="L147" s="7">
        <f>IF(OR(G147="",J147="",I147=""),"",ABS(G147-J147)*I147)</f>
        <v/>
      </c>
      <c r="M147" s="7">
        <f>IF(OR(G147="",H147="",I147="",F147=""),"",IF(F147="Long",(H147-G147)*I147,(G147-H147)*I147))</f>
        <v/>
      </c>
      <c r="N147" s="6">
        <f>IF(OR(M147="",L147="",L147=0),"",M147/L147)</f>
        <v/>
      </c>
      <c r="O147">
        <f>IF(M147="","",IF(M147&gt;0,"Win",IF(M147&lt;0,"Loss","Scratch")))</f>
        <v/>
      </c>
    </row>
    <row r="148">
      <c r="A148" s="5" t="n"/>
      <c r="G148" s="6" t="n"/>
      <c r="H148" s="6" t="n"/>
      <c r="J148" s="6" t="n"/>
      <c r="K148" s="6" t="n"/>
      <c r="L148" s="7">
        <f>IF(OR(G148="",J148="",I148=""),"",ABS(G148-J148)*I148)</f>
        <v/>
      </c>
      <c r="M148" s="7">
        <f>IF(OR(G148="",H148="",I148="",F148=""),"",IF(F148="Long",(H148-G148)*I148,(G148-H148)*I148))</f>
        <v/>
      </c>
      <c r="N148" s="6">
        <f>IF(OR(M148="",L148="",L148=0),"",M148/L148)</f>
        <v/>
      </c>
      <c r="O148">
        <f>IF(M148="","",IF(M148&gt;0,"Win",IF(M148&lt;0,"Loss","Scratch")))</f>
        <v/>
      </c>
    </row>
    <row r="149">
      <c r="A149" s="5" t="n"/>
      <c r="G149" s="6" t="n"/>
      <c r="H149" s="6" t="n"/>
      <c r="J149" s="6" t="n"/>
      <c r="K149" s="6" t="n"/>
      <c r="L149" s="7">
        <f>IF(OR(G149="",J149="",I149=""),"",ABS(G149-J149)*I149)</f>
        <v/>
      </c>
      <c r="M149" s="7">
        <f>IF(OR(G149="",H149="",I149="",F149=""),"",IF(F149="Long",(H149-G149)*I149,(G149-H149)*I149))</f>
        <v/>
      </c>
      <c r="N149" s="6">
        <f>IF(OR(M149="",L149="",L149=0),"",M149/L149)</f>
        <v/>
      </c>
      <c r="O149">
        <f>IF(M149="","",IF(M149&gt;0,"Win",IF(M149&lt;0,"Loss","Scratch")))</f>
        <v/>
      </c>
    </row>
    <row r="150">
      <c r="A150" s="5" t="n"/>
      <c r="G150" s="6" t="n"/>
      <c r="H150" s="6" t="n"/>
      <c r="J150" s="6" t="n"/>
      <c r="K150" s="6" t="n"/>
      <c r="L150" s="7">
        <f>IF(OR(G150="",J150="",I150=""),"",ABS(G150-J150)*I150)</f>
        <v/>
      </c>
      <c r="M150" s="7">
        <f>IF(OR(G150="",H150="",I150="",F150=""),"",IF(F150="Long",(H150-G150)*I150,(G150-H150)*I150))</f>
        <v/>
      </c>
      <c r="N150" s="6">
        <f>IF(OR(M150="",L150="",L150=0),"",M150/L150)</f>
        <v/>
      </c>
      <c r="O150">
        <f>IF(M150="","",IF(M150&gt;0,"Win",IF(M150&lt;0,"Loss","Scratch")))</f>
        <v/>
      </c>
    </row>
    <row r="151">
      <c r="A151" s="5" t="n"/>
      <c r="G151" s="6" t="n"/>
      <c r="H151" s="6" t="n"/>
      <c r="J151" s="6" t="n"/>
      <c r="K151" s="6" t="n"/>
      <c r="L151" s="7">
        <f>IF(OR(G151="",J151="",I151=""),"",ABS(G151-J151)*I151)</f>
        <v/>
      </c>
      <c r="M151" s="7">
        <f>IF(OR(G151="",H151="",I151="",F151=""),"",IF(F151="Long",(H151-G151)*I151,(G151-H151)*I151))</f>
        <v/>
      </c>
      <c r="N151" s="6">
        <f>IF(OR(M151="",L151="",L151=0),"",M151/L151)</f>
        <v/>
      </c>
      <c r="O151">
        <f>IF(M151="","",IF(M151&gt;0,"Win",IF(M151&lt;0,"Loss","Scratch")))</f>
        <v/>
      </c>
    </row>
    <row r="152">
      <c r="A152" s="5" t="n"/>
      <c r="G152" s="6" t="n"/>
      <c r="H152" s="6" t="n"/>
      <c r="J152" s="6" t="n"/>
      <c r="K152" s="6" t="n"/>
      <c r="L152" s="7">
        <f>IF(OR(G152="",J152="",I152=""),"",ABS(G152-J152)*I152)</f>
        <v/>
      </c>
      <c r="M152" s="7">
        <f>IF(OR(G152="",H152="",I152="",F152=""),"",IF(F152="Long",(H152-G152)*I152,(G152-H152)*I152))</f>
        <v/>
      </c>
      <c r="N152" s="6">
        <f>IF(OR(M152="",L152="",L152=0),"",M152/L152)</f>
        <v/>
      </c>
      <c r="O152">
        <f>IF(M152="","",IF(M152&gt;0,"Win",IF(M152&lt;0,"Loss","Scratch")))</f>
        <v/>
      </c>
    </row>
    <row r="153">
      <c r="A153" s="5" t="n"/>
      <c r="G153" s="6" t="n"/>
      <c r="H153" s="6" t="n"/>
      <c r="J153" s="6" t="n"/>
      <c r="K153" s="6" t="n"/>
      <c r="L153" s="7">
        <f>IF(OR(G153="",J153="",I153=""),"",ABS(G153-J153)*I153)</f>
        <v/>
      </c>
      <c r="M153" s="7">
        <f>IF(OR(G153="",H153="",I153="",F153=""),"",IF(F153="Long",(H153-G153)*I153,(G153-H153)*I153))</f>
        <v/>
      </c>
      <c r="N153" s="6">
        <f>IF(OR(M153="",L153="",L153=0),"",M153/L153)</f>
        <v/>
      </c>
      <c r="O153">
        <f>IF(M153="","",IF(M153&gt;0,"Win",IF(M153&lt;0,"Loss","Scratch")))</f>
        <v/>
      </c>
    </row>
    <row r="154">
      <c r="A154" s="5" t="n"/>
      <c r="G154" s="6" t="n"/>
      <c r="H154" s="6" t="n"/>
      <c r="J154" s="6" t="n"/>
      <c r="K154" s="6" t="n"/>
      <c r="L154" s="7">
        <f>IF(OR(G154="",J154="",I154=""),"",ABS(G154-J154)*I154)</f>
        <v/>
      </c>
      <c r="M154" s="7">
        <f>IF(OR(G154="",H154="",I154="",F154=""),"",IF(F154="Long",(H154-G154)*I154,(G154-H154)*I154))</f>
        <v/>
      </c>
      <c r="N154" s="6">
        <f>IF(OR(M154="",L154="",L154=0),"",M154/L154)</f>
        <v/>
      </c>
      <c r="O154">
        <f>IF(M154="","",IF(M154&gt;0,"Win",IF(M154&lt;0,"Loss","Scratch")))</f>
        <v/>
      </c>
    </row>
    <row r="155">
      <c r="A155" s="5" t="n"/>
      <c r="G155" s="6" t="n"/>
      <c r="H155" s="6" t="n"/>
      <c r="J155" s="6" t="n"/>
      <c r="K155" s="6" t="n"/>
      <c r="L155" s="7">
        <f>IF(OR(G155="",J155="",I155=""),"",ABS(G155-J155)*I155)</f>
        <v/>
      </c>
      <c r="M155" s="7">
        <f>IF(OR(G155="",H155="",I155="",F155=""),"",IF(F155="Long",(H155-G155)*I155,(G155-H155)*I155))</f>
        <v/>
      </c>
      <c r="N155" s="6">
        <f>IF(OR(M155="",L155="",L155=0),"",M155/L155)</f>
        <v/>
      </c>
      <c r="O155">
        <f>IF(M155="","",IF(M155&gt;0,"Win",IF(M155&lt;0,"Loss","Scratch")))</f>
        <v/>
      </c>
    </row>
    <row r="156">
      <c r="A156" s="5" t="n"/>
      <c r="G156" s="6" t="n"/>
      <c r="H156" s="6" t="n"/>
      <c r="J156" s="6" t="n"/>
      <c r="K156" s="6" t="n"/>
      <c r="L156" s="7">
        <f>IF(OR(G156="",J156="",I156=""),"",ABS(G156-J156)*I156)</f>
        <v/>
      </c>
      <c r="M156" s="7">
        <f>IF(OR(G156="",H156="",I156="",F156=""),"",IF(F156="Long",(H156-G156)*I156,(G156-H156)*I156))</f>
        <v/>
      </c>
      <c r="N156" s="6">
        <f>IF(OR(M156="",L156="",L156=0),"",M156/L156)</f>
        <v/>
      </c>
      <c r="O156">
        <f>IF(M156="","",IF(M156&gt;0,"Win",IF(M156&lt;0,"Loss","Scratch")))</f>
        <v/>
      </c>
    </row>
    <row r="157">
      <c r="A157" s="5" t="n"/>
      <c r="G157" s="6" t="n"/>
      <c r="H157" s="6" t="n"/>
      <c r="J157" s="6" t="n"/>
      <c r="K157" s="6" t="n"/>
      <c r="L157" s="7">
        <f>IF(OR(G157="",J157="",I157=""),"",ABS(G157-J157)*I157)</f>
        <v/>
      </c>
      <c r="M157" s="7">
        <f>IF(OR(G157="",H157="",I157="",F157=""),"",IF(F157="Long",(H157-G157)*I157,(G157-H157)*I157))</f>
        <v/>
      </c>
      <c r="N157" s="6">
        <f>IF(OR(M157="",L157="",L157=0),"",M157/L157)</f>
        <v/>
      </c>
      <c r="O157">
        <f>IF(M157="","",IF(M157&gt;0,"Win",IF(M157&lt;0,"Loss","Scratch")))</f>
        <v/>
      </c>
    </row>
    <row r="158">
      <c r="A158" s="5" t="n"/>
      <c r="G158" s="6" t="n"/>
      <c r="H158" s="6" t="n"/>
      <c r="J158" s="6" t="n"/>
      <c r="K158" s="6" t="n"/>
      <c r="L158" s="7">
        <f>IF(OR(G158="",J158="",I158=""),"",ABS(G158-J158)*I158)</f>
        <v/>
      </c>
      <c r="M158" s="7">
        <f>IF(OR(G158="",H158="",I158="",F158=""),"",IF(F158="Long",(H158-G158)*I158,(G158-H158)*I158))</f>
        <v/>
      </c>
      <c r="N158" s="6">
        <f>IF(OR(M158="",L158="",L158=0),"",M158/L158)</f>
        <v/>
      </c>
      <c r="O158">
        <f>IF(M158="","",IF(M158&gt;0,"Win",IF(M158&lt;0,"Loss","Scratch")))</f>
        <v/>
      </c>
    </row>
    <row r="159">
      <c r="A159" s="5" t="n"/>
      <c r="G159" s="6" t="n"/>
      <c r="H159" s="6" t="n"/>
      <c r="J159" s="6" t="n"/>
      <c r="K159" s="6" t="n"/>
      <c r="L159" s="7">
        <f>IF(OR(G159="",J159="",I159=""),"",ABS(G159-J159)*I159)</f>
        <v/>
      </c>
      <c r="M159" s="7">
        <f>IF(OR(G159="",H159="",I159="",F159=""),"",IF(F159="Long",(H159-G159)*I159,(G159-H159)*I159))</f>
        <v/>
      </c>
      <c r="N159" s="6">
        <f>IF(OR(M159="",L159="",L159=0),"",M159/L159)</f>
        <v/>
      </c>
      <c r="O159">
        <f>IF(M159="","",IF(M159&gt;0,"Win",IF(M159&lt;0,"Loss","Scratch")))</f>
        <v/>
      </c>
    </row>
    <row r="160">
      <c r="A160" s="5" t="n"/>
      <c r="G160" s="6" t="n"/>
      <c r="H160" s="6" t="n"/>
      <c r="J160" s="6" t="n"/>
      <c r="K160" s="6" t="n"/>
      <c r="L160" s="7">
        <f>IF(OR(G160="",J160="",I160=""),"",ABS(G160-J160)*I160)</f>
        <v/>
      </c>
      <c r="M160" s="7">
        <f>IF(OR(G160="",H160="",I160="",F160=""),"",IF(F160="Long",(H160-G160)*I160,(G160-H160)*I160))</f>
        <v/>
      </c>
      <c r="N160" s="6">
        <f>IF(OR(M160="",L160="",L160=0),"",M160/L160)</f>
        <v/>
      </c>
      <c r="O160">
        <f>IF(M160="","",IF(M160&gt;0,"Win",IF(M160&lt;0,"Loss","Scratch")))</f>
        <v/>
      </c>
    </row>
    <row r="161">
      <c r="A161" s="5" t="n"/>
      <c r="G161" s="6" t="n"/>
      <c r="H161" s="6" t="n"/>
      <c r="J161" s="6" t="n"/>
      <c r="K161" s="6" t="n"/>
      <c r="L161" s="7">
        <f>IF(OR(G161="",J161="",I161=""),"",ABS(G161-J161)*I161)</f>
        <v/>
      </c>
      <c r="M161" s="7">
        <f>IF(OR(G161="",H161="",I161="",F161=""),"",IF(F161="Long",(H161-G161)*I161,(G161-H161)*I161))</f>
        <v/>
      </c>
      <c r="N161" s="6">
        <f>IF(OR(M161="",L161="",L161=0),"",M161/L161)</f>
        <v/>
      </c>
      <c r="O161">
        <f>IF(M161="","",IF(M161&gt;0,"Win",IF(M161&lt;0,"Loss","Scratch")))</f>
        <v/>
      </c>
    </row>
    <row r="162">
      <c r="A162" s="5" t="n"/>
      <c r="G162" s="6" t="n"/>
      <c r="H162" s="6" t="n"/>
      <c r="J162" s="6" t="n"/>
      <c r="K162" s="6" t="n"/>
      <c r="L162" s="7">
        <f>IF(OR(G162="",J162="",I162=""),"",ABS(G162-J162)*I162)</f>
        <v/>
      </c>
      <c r="M162" s="7">
        <f>IF(OR(G162="",H162="",I162="",F162=""),"",IF(F162="Long",(H162-G162)*I162,(G162-H162)*I162))</f>
        <v/>
      </c>
      <c r="N162" s="6">
        <f>IF(OR(M162="",L162="",L162=0),"",M162/L162)</f>
        <v/>
      </c>
      <c r="O162">
        <f>IF(M162="","",IF(M162&gt;0,"Win",IF(M162&lt;0,"Loss","Scratch")))</f>
        <v/>
      </c>
    </row>
    <row r="163">
      <c r="A163" s="5" t="n"/>
      <c r="G163" s="6" t="n"/>
      <c r="H163" s="6" t="n"/>
      <c r="J163" s="6" t="n"/>
      <c r="K163" s="6" t="n"/>
      <c r="L163" s="7">
        <f>IF(OR(G163="",J163="",I163=""),"",ABS(G163-J163)*I163)</f>
        <v/>
      </c>
      <c r="M163" s="7">
        <f>IF(OR(G163="",H163="",I163="",F163=""),"",IF(F163="Long",(H163-G163)*I163,(G163-H163)*I163))</f>
        <v/>
      </c>
      <c r="N163" s="6">
        <f>IF(OR(M163="",L163="",L163=0),"",M163/L163)</f>
        <v/>
      </c>
      <c r="O163">
        <f>IF(M163="","",IF(M163&gt;0,"Win",IF(M163&lt;0,"Loss","Scratch")))</f>
        <v/>
      </c>
    </row>
    <row r="164">
      <c r="A164" s="5" t="n"/>
      <c r="G164" s="6" t="n"/>
      <c r="H164" s="6" t="n"/>
      <c r="J164" s="6" t="n"/>
      <c r="K164" s="6" t="n"/>
      <c r="L164" s="7">
        <f>IF(OR(G164="",J164="",I164=""),"",ABS(G164-J164)*I164)</f>
        <v/>
      </c>
      <c r="M164" s="7">
        <f>IF(OR(G164="",H164="",I164="",F164=""),"",IF(F164="Long",(H164-G164)*I164,(G164-H164)*I164))</f>
        <v/>
      </c>
      <c r="N164" s="6">
        <f>IF(OR(M164="",L164="",L164=0),"",M164/L164)</f>
        <v/>
      </c>
      <c r="O164">
        <f>IF(M164="","",IF(M164&gt;0,"Win",IF(M164&lt;0,"Loss","Scratch")))</f>
        <v/>
      </c>
    </row>
    <row r="165">
      <c r="A165" s="5" t="n"/>
      <c r="G165" s="6" t="n"/>
      <c r="H165" s="6" t="n"/>
      <c r="J165" s="6" t="n"/>
      <c r="K165" s="6" t="n"/>
      <c r="L165" s="7">
        <f>IF(OR(G165="",J165="",I165=""),"",ABS(G165-J165)*I165)</f>
        <v/>
      </c>
      <c r="M165" s="7">
        <f>IF(OR(G165="",H165="",I165="",F165=""),"",IF(F165="Long",(H165-G165)*I165,(G165-H165)*I165))</f>
        <v/>
      </c>
      <c r="N165" s="6">
        <f>IF(OR(M165="",L165="",L165=0),"",M165/L165)</f>
        <v/>
      </c>
      <c r="O165">
        <f>IF(M165="","",IF(M165&gt;0,"Win",IF(M165&lt;0,"Loss","Scratch")))</f>
        <v/>
      </c>
    </row>
    <row r="166">
      <c r="A166" s="5" t="n"/>
      <c r="G166" s="6" t="n"/>
      <c r="H166" s="6" t="n"/>
      <c r="J166" s="6" t="n"/>
      <c r="K166" s="6" t="n"/>
      <c r="L166" s="7">
        <f>IF(OR(G166="",J166="",I166=""),"",ABS(G166-J166)*I166)</f>
        <v/>
      </c>
      <c r="M166" s="7">
        <f>IF(OR(G166="",H166="",I166="",F166=""),"",IF(F166="Long",(H166-G166)*I166,(G166-H166)*I166))</f>
        <v/>
      </c>
      <c r="N166" s="6">
        <f>IF(OR(M166="",L166="",L166=0),"",M166/L166)</f>
        <v/>
      </c>
      <c r="O166">
        <f>IF(M166="","",IF(M166&gt;0,"Win",IF(M166&lt;0,"Loss","Scratch")))</f>
        <v/>
      </c>
    </row>
    <row r="167">
      <c r="A167" s="5" t="n"/>
      <c r="G167" s="6" t="n"/>
      <c r="H167" s="6" t="n"/>
      <c r="J167" s="6" t="n"/>
      <c r="K167" s="6" t="n"/>
      <c r="L167" s="7">
        <f>IF(OR(G167="",J167="",I167=""),"",ABS(G167-J167)*I167)</f>
        <v/>
      </c>
      <c r="M167" s="7">
        <f>IF(OR(G167="",H167="",I167="",F167=""),"",IF(F167="Long",(H167-G167)*I167,(G167-H167)*I167))</f>
        <v/>
      </c>
      <c r="N167" s="6">
        <f>IF(OR(M167="",L167="",L167=0),"",M167/L167)</f>
        <v/>
      </c>
      <c r="O167">
        <f>IF(M167="","",IF(M167&gt;0,"Win",IF(M167&lt;0,"Loss","Scratch")))</f>
        <v/>
      </c>
    </row>
    <row r="168">
      <c r="A168" s="5" t="n"/>
      <c r="G168" s="6" t="n"/>
      <c r="H168" s="6" t="n"/>
      <c r="J168" s="6" t="n"/>
      <c r="K168" s="6" t="n"/>
      <c r="L168" s="7">
        <f>IF(OR(G168="",J168="",I168=""),"",ABS(G168-J168)*I168)</f>
        <v/>
      </c>
      <c r="M168" s="7">
        <f>IF(OR(G168="",H168="",I168="",F168=""),"",IF(F168="Long",(H168-G168)*I168,(G168-H168)*I168))</f>
        <v/>
      </c>
      <c r="N168" s="6">
        <f>IF(OR(M168="",L168="",L168=0),"",M168/L168)</f>
        <v/>
      </c>
      <c r="O168">
        <f>IF(M168="","",IF(M168&gt;0,"Win",IF(M168&lt;0,"Loss","Scratch")))</f>
        <v/>
      </c>
    </row>
    <row r="169">
      <c r="A169" s="5" t="n"/>
      <c r="G169" s="6" t="n"/>
      <c r="H169" s="6" t="n"/>
      <c r="J169" s="6" t="n"/>
      <c r="K169" s="6" t="n"/>
      <c r="L169" s="7">
        <f>IF(OR(G169="",J169="",I169=""),"",ABS(G169-J169)*I169)</f>
        <v/>
      </c>
      <c r="M169" s="7">
        <f>IF(OR(G169="",H169="",I169="",F169=""),"",IF(F169="Long",(H169-G169)*I169,(G169-H169)*I169))</f>
        <v/>
      </c>
      <c r="N169" s="6">
        <f>IF(OR(M169="",L169="",L169=0),"",M169/L169)</f>
        <v/>
      </c>
      <c r="O169">
        <f>IF(M169="","",IF(M169&gt;0,"Win",IF(M169&lt;0,"Loss","Scratch")))</f>
        <v/>
      </c>
    </row>
    <row r="170">
      <c r="A170" s="5" t="n"/>
      <c r="G170" s="6" t="n"/>
      <c r="H170" s="6" t="n"/>
      <c r="J170" s="6" t="n"/>
      <c r="K170" s="6" t="n"/>
      <c r="L170" s="7">
        <f>IF(OR(G170="",J170="",I170=""),"",ABS(G170-J170)*I170)</f>
        <v/>
      </c>
      <c r="M170" s="7">
        <f>IF(OR(G170="",H170="",I170="",F170=""),"",IF(F170="Long",(H170-G170)*I170,(G170-H170)*I170))</f>
        <v/>
      </c>
      <c r="N170" s="6">
        <f>IF(OR(M170="",L170="",L170=0),"",M170/L170)</f>
        <v/>
      </c>
      <c r="O170">
        <f>IF(M170="","",IF(M170&gt;0,"Win",IF(M170&lt;0,"Loss","Scratch")))</f>
        <v/>
      </c>
    </row>
    <row r="171">
      <c r="A171" s="5" t="n"/>
      <c r="G171" s="6" t="n"/>
      <c r="H171" s="6" t="n"/>
      <c r="J171" s="6" t="n"/>
      <c r="K171" s="6" t="n"/>
      <c r="L171" s="7">
        <f>IF(OR(G171="",J171="",I171=""),"",ABS(G171-J171)*I171)</f>
        <v/>
      </c>
      <c r="M171" s="7">
        <f>IF(OR(G171="",H171="",I171="",F171=""),"",IF(F171="Long",(H171-G171)*I171,(G171-H171)*I171))</f>
        <v/>
      </c>
      <c r="N171" s="6">
        <f>IF(OR(M171="",L171="",L171=0),"",M171/L171)</f>
        <v/>
      </c>
      <c r="O171">
        <f>IF(M171="","",IF(M171&gt;0,"Win",IF(M171&lt;0,"Loss","Scratch")))</f>
        <v/>
      </c>
    </row>
    <row r="172">
      <c r="A172" s="5" t="n"/>
      <c r="G172" s="6" t="n"/>
      <c r="H172" s="6" t="n"/>
      <c r="J172" s="6" t="n"/>
      <c r="K172" s="6" t="n"/>
      <c r="L172" s="7">
        <f>IF(OR(G172="",J172="",I172=""),"",ABS(G172-J172)*I172)</f>
        <v/>
      </c>
      <c r="M172" s="7">
        <f>IF(OR(G172="",H172="",I172="",F172=""),"",IF(F172="Long",(H172-G172)*I172,(G172-H172)*I172))</f>
        <v/>
      </c>
      <c r="N172" s="6">
        <f>IF(OR(M172="",L172="",L172=0),"",M172/L172)</f>
        <v/>
      </c>
      <c r="O172">
        <f>IF(M172="","",IF(M172&gt;0,"Win",IF(M172&lt;0,"Loss","Scratch")))</f>
        <v/>
      </c>
    </row>
    <row r="173">
      <c r="A173" s="5" t="n"/>
      <c r="G173" s="6" t="n"/>
      <c r="H173" s="6" t="n"/>
      <c r="J173" s="6" t="n"/>
      <c r="K173" s="6" t="n"/>
      <c r="L173" s="7">
        <f>IF(OR(G173="",J173="",I173=""),"",ABS(G173-J173)*I173)</f>
        <v/>
      </c>
      <c r="M173" s="7">
        <f>IF(OR(G173="",H173="",I173="",F173=""),"",IF(F173="Long",(H173-G173)*I173,(G173-H173)*I173))</f>
        <v/>
      </c>
      <c r="N173" s="6">
        <f>IF(OR(M173="",L173="",L173=0),"",M173/L173)</f>
        <v/>
      </c>
      <c r="O173">
        <f>IF(M173="","",IF(M173&gt;0,"Win",IF(M173&lt;0,"Loss","Scratch")))</f>
        <v/>
      </c>
    </row>
    <row r="174">
      <c r="A174" s="5" t="n"/>
      <c r="G174" s="6" t="n"/>
      <c r="H174" s="6" t="n"/>
      <c r="J174" s="6" t="n"/>
      <c r="K174" s="6" t="n"/>
      <c r="L174" s="7">
        <f>IF(OR(G174="",J174="",I174=""),"",ABS(G174-J174)*I174)</f>
        <v/>
      </c>
      <c r="M174" s="7">
        <f>IF(OR(G174="",H174="",I174="",F174=""),"",IF(F174="Long",(H174-G174)*I174,(G174-H174)*I174))</f>
        <v/>
      </c>
      <c r="N174" s="6">
        <f>IF(OR(M174="",L174="",L174=0),"",M174/L174)</f>
        <v/>
      </c>
      <c r="O174">
        <f>IF(M174="","",IF(M174&gt;0,"Win",IF(M174&lt;0,"Loss","Scratch")))</f>
        <v/>
      </c>
    </row>
    <row r="175">
      <c r="A175" s="5" t="n"/>
      <c r="G175" s="6" t="n"/>
      <c r="H175" s="6" t="n"/>
      <c r="J175" s="6" t="n"/>
      <c r="K175" s="6" t="n"/>
      <c r="L175" s="7">
        <f>IF(OR(G175="",J175="",I175=""),"",ABS(G175-J175)*I175)</f>
        <v/>
      </c>
      <c r="M175" s="7">
        <f>IF(OR(G175="",H175="",I175="",F175=""),"",IF(F175="Long",(H175-G175)*I175,(G175-H175)*I175))</f>
        <v/>
      </c>
      <c r="N175" s="6">
        <f>IF(OR(M175="",L175="",L175=0),"",M175/L175)</f>
        <v/>
      </c>
      <c r="O175">
        <f>IF(M175="","",IF(M175&gt;0,"Win",IF(M175&lt;0,"Loss","Scratch")))</f>
        <v/>
      </c>
    </row>
    <row r="176">
      <c r="A176" s="5" t="n"/>
      <c r="G176" s="6" t="n"/>
      <c r="H176" s="6" t="n"/>
      <c r="J176" s="6" t="n"/>
      <c r="K176" s="6" t="n"/>
      <c r="L176" s="7">
        <f>IF(OR(G176="",J176="",I176=""),"",ABS(G176-J176)*I176)</f>
        <v/>
      </c>
      <c r="M176" s="7">
        <f>IF(OR(G176="",H176="",I176="",F176=""),"",IF(F176="Long",(H176-G176)*I176,(G176-H176)*I176))</f>
        <v/>
      </c>
      <c r="N176" s="6">
        <f>IF(OR(M176="",L176="",L176=0),"",M176/L176)</f>
        <v/>
      </c>
      <c r="O176">
        <f>IF(M176="","",IF(M176&gt;0,"Win",IF(M176&lt;0,"Loss","Scratch")))</f>
        <v/>
      </c>
    </row>
    <row r="177">
      <c r="A177" s="5" t="n"/>
      <c r="G177" s="6" t="n"/>
      <c r="H177" s="6" t="n"/>
      <c r="J177" s="6" t="n"/>
      <c r="K177" s="6" t="n"/>
      <c r="L177" s="7">
        <f>IF(OR(G177="",J177="",I177=""),"",ABS(G177-J177)*I177)</f>
        <v/>
      </c>
      <c r="M177" s="7">
        <f>IF(OR(G177="",H177="",I177="",F177=""),"",IF(F177="Long",(H177-G177)*I177,(G177-H177)*I177))</f>
        <v/>
      </c>
      <c r="N177" s="6">
        <f>IF(OR(M177="",L177="",L177=0),"",M177/L177)</f>
        <v/>
      </c>
      <c r="O177">
        <f>IF(M177="","",IF(M177&gt;0,"Win",IF(M177&lt;0,"Loss","Scratch")))</f>
        <v/>
      </c>
    </row>
    <row r="178">
      <c r="A178" s="5" t="n"/>
      <c r="G178" s="6" t="n"/>
      <c r="H178" s="6" t="n"/>
      <c r="J178" s="6" t="n"/>
      <c r="K178" s="6" t="n"/>
      <c r="L178" s="7">
        <f>IF(OR(G178="",J178="",I178=""),"",ABS(G178-J178)*I178)</f>
        <v/>
      </c>
      <c r="M178" s="7">
        <f>IF(OR(G178="",H178="",I178="",F178=""),"",IF(F178="Long",(H178-G178)*I178,(G178-H178)*I178))</f>
        <v/>
      </c>
      <c r="N178" s="6">
        <f>IF(OR(M178="",L178="",L178=0),"",M178/L178)</f>
        <v/>
      </c>
      <c r="O178">
        <f>IF(M178="","",IF(M178&gt;0,"Win",IF(M178&lt;0,"Loss","Scratch")))</f>
        <v/>
      </c>
    </row>
    <row r="179">
      <c r="A179" s="5" t="n"/>
      <c r="G179" s="6" t="n"/>
      <c r="H179" s="6" t="n"/>
      <c r="J179" s="6" t="n"/>
      <c r="K179" s="6" t="n"/>
      <c r="L179" s="7">
        <f>IF(OR(G179="",J179="",I179=""),"",ABS(G179-J179)*I179)</f>
        <v/>
      </c>
      <c r="M179" s="7">
        <f>IF(OR(G179="",H179="",I179="",F179=""),"",IF(F179="Long",(H179-G179)*I179,(G179-H179)*I179))</f>
        <v/>
      </c>
      <c r="N179" s="6">
        <f>IF(OR(M179="",L179="",L179=0),"",M179/L179)</f>
        <v/>
      </c>
      <c r="O179">
        <f>IF(M179="","",IF(M179&gt;0,"Win",IF(M179&lt;0,"Loss","Scratch")))</f>
        <v/>
      </c>
    </row>
    <row r="180">
      <c r="A180" s="5" t="n"/>
      <c r="G180" s="6" t="n"/>
      <c r="H180" s="6" t="n"/>
      <c r="J180" s="6" t="n"/>
      <c r="K180" s="6" t="n"/>
      <c r="L180" s="7">
        <f>IF(OR(G180="",J180="",I180=""),"",ABS(G180-J180)*I180)</f>
        <v/>
      </c>
      <c r="M180" s="7">
        <f>IF(OR(G180="",H180="",I180="",F180=""),"",IF(F180="Long",(H180-G180)*I180,(G180-H180)*I180))</f>
        <v/>
      </c>
      <c r="N180" s="6">
        <f>IF(OR(M180="",L180="",L180=0),"",M180/L180)</f>
        <v/>
      </c>
      <c r="O180">
        <f>IF(M180="","",IF(M180&gt;0,"Win",IF(M180&lt;0,"Loss","Scratch")))</f>
        <v/>
      </c>
    </row>
    <row r="181">
      <c r="A181" s="5" t="n"/>
      <c r="G181" s="6" t="n"/>
      <c r="H181" s="6" t="n"/>
      <c r="J181" s="6" t="n"/>
      <c r="K181" s="6" t="n"/>
      <c r="L181" s="7">
        <f>IF(OR(G181="",J181="",I181=""),"",ABS(G181-J181)*I181)</f>
        <v/>
      </c>
      <c r="M181" s="7">
        <f>IF(OR(G181="",H181="",I181="",F181=""),"",IF(F181="Long",(H181-G181)*I181,(G181-H181)*I181))</f>
        <v/>
      </c>
      <c r="N181" s="6">
        <f>IF(OR(M181="",L181="",L181=0),"",M181/L181)</f>
        <v/>
      </c>
      <c r="O181">
        <f>IF(M181="","",IF(M181&gt;0,"Win",IF(M181&lt;0,"Loss","Scratch")))</f>
        <v/>
      </c>
    </row>
    <row r="182">
      <c r="A182" s="5" t="n"/>
      <c r="G182" s="6" t="n"/>
      <c r="H182" s="6" t="n"/>
      <c r="J182" s="6" t="n"/>
      <c r="K182" s="6" t="n"/>
      <c r="L182" s="7">
        <f>IF(OR(G182="",J182="",I182=""),"",ABS(G182-J182)*I182)</f>
        <v/>
      </c>
      <c r="M182" s="7">
        <f>IF(OR(G182="",H182="",I182="",F182=""),"",IF(F182="Long",(H182-G182)*I182,(G182-H182)*I182))</f>
        <v/>
      </c>
      <c r="N182" s="6">
        <f>IF(OR(M182="",L182="",L182=0),"",M182/L182)</f>
        <v/>
      </c>
      <c r="O182">
        <f>IF(M182="","",IF(M182&gt;0,"Win",IF(M182&lt;0,"Loss","Scratch")))</f>
        <v/>
      </c>
    </row>
    <row r="183">
      <c r="A183" s="5" t="n"/>
      <c r="G183" s="6" t="n"/>
      <c r="H183" s="6" t="n"/>
      <c r="J183" s="6" t="n"/>
      <c r="K183" s="6" t="n"/>
      <c r="L183" s="7">
        <f>IF(OR(G183="",J183="",I183=""),"",ABS(G183-J183)*I183)</f>
        <v/>
      </c>
      <c r="M183" s="7">
        <f>IF(OR(G183="",H183="",I183="",F183=""),"",IF(F183="Long",(H183-G183)*I183,(G183-H183)*I183))</f>
        <v/>
      </c>
      <c r="N183" s="6">
        <f>IF(OR(M183="",L183="",L183=0),"",M183/L183)</f>
        <v/>
      </c>
      <c r="O183">
        <f>IF(M183="","",IF(M183&gt;0,"Win",IF(M183&lt;0,"Loss","Scratch")))</f>
        <v/>
      </c>
    </row>
    <row r="184">
      <c r="A184" s="5" t="n"/>
      <c r="G184" s="6" t="n"/>
      <c r="H184" s="6" t="n"/>
      <c r="J184" s="6" t="n"/>
      <c r="K184" s="6" t="n"/>
      <c r="L184" s="7">
        <f>IF(OR(G184="",J184="",I184=""),"",ABS(G184-J184)*I184)</f>
        <v/>
      </c>
      <c r="M184" s="7">
        <f>IF(OR(G184="",H184="",I184="",F184=""),"",IF(F184="Long",(H184-G184)*I184,(G184-H184)*I184))</f>
        <v/>
      </c>
      <c r="N184" s="6">
        <f>IF(OR(M184="",L184="",L184=0),"",M184/L184)</f>
        <v/>
      </c>
      <c r="O184">
        <f>IF(M184="","",IF(M184&gt;0,"Win",IF(M184&lt;0,"Loss","Scratch")))</f>
        <v/>
      </c>
    </row>
    <row r="185">
      <c r="A185" s="5" t="n"/>
      <c r="G185" s="6" t="n"/>
      <c r="H185" s="6" t="n"/>
      <c r="J185" s="6" t="n"/>
      <c r="K185" s="6" t="n"/>
      <c r="L185" s="7">
        <f>IF(OR(G185="",J185="",I185=""),"",ABS(G185-J185)*I185)</f>
        <v/>
      </c>
      <c r="M185" s="7">
        <f>IF(OR(G185="",H185="",I185="",F185=""),"",IF(F185="Long",(H185-G185)*I185,(G185-H185)*I185))</f>
        <v/>
      </c>
      <c r="N185" s="6">
        <f>IF(OR(M185="",L185="",L185=0),"",M185/L185)</f>
        <v/>
      </c>
      <c r="O185">
        <f>IF(M185="","",IF(M185&gt;0,"Win",IF(M185&lt;0,"Loss","Scratch")))</f>
        <v/>
      </c>
    </row>
    <row r="186">
      <c r="A186" s="5" t="n"/>
      <c r="G186" s="6" t="n"/>
      <c r="H186" s="6" t="n"/>
      <c r="J186" s="6" t="n"/>
      <c r="K186" s="6" t="n"/>
      <c r="L186" s="7">
        <f>IF(OR(G186="",J186="",I186=""),"",ABS(G186-J186)*I186)</f>
        <v/>
      </c>
      <c r="M186" s="7">
        <f>IF(OR(G186="",H186="",I186="",F186=""),"",IF(F186="Long",(H186-G186)*I186,(G186-H186)*I186))</f>
        <v/>
      </c>
      <c r="N186" s="6">
        <f>IF(OR(M186="",L186="",L186=0),"",M186/L186)</f>
        <v/>
      </c>
      <c r="O186">
        <f>IF(M186="","",IF(M186&gt;0,"Win",IF(M186&lt;0,"Loss","Scratch")))</f>
        <v/>
      </c>
    </row>
    <row r="187">
      <c r="A187" s="5" t="n"/>
      <c r="G187" s="6" t="n"/>
      <c r="H187" s="6" t="n"/>
      <c r="J187" s="6" t="n"/>
      <c r="K187" s="6" t="n"/>
      <c r="L187" s="7">
        <f>IF(OR(G187="",J187="",I187=""),"",ABS(G187-J187)*I187)</f>
        <v/>
      </c>
      <c r="M187" s="7">
        <f>IF(OR(G187="",H187="",I187="",F187=""),"",IF(F187="Long",(H187-G187)*I187,(G187-H187)*I187))</f>
        <v/>
      </c>
      <c r="N187" s="6">
        <f>IF(OR(M187="",L187="",L187=0),"",M187/L187)</f>
        <v/>
      </c>
      <c r="O187">
        <f>IF(M187="","",IF(M187&gt;0,"Win",IF(M187&lt;0,"Loss","Scratch")))</f>
        <v/>
      </c>
    </row>
    <row r="188">
      <c r="A188" s="5" t="n"/>
      <c r="G188" s="6" t="n"/>
      <c r="H188" s="6" t="n"/>
      <c r="J188" s="6" t="n"/>
      <c r="K188" s="6" t="n"/>
      <c r="L188" s="7">
        <f>IF(OR(G188="",J188="",I188=""),"",ABS(G188-J188)*I188)</f>
        <v/>
      </c>
      <c r="M188" s="7">
        <f>IF(OR(G188="",H188="",I188="",F188=""),"",IF(F188="Long",(H188-G188)*I188,(G188-H188)*I188))</f>
        <v/>
      </c>
      <c r="N188" s="6">
        <f>IF(OR(M188="",L188="",L188=0),"",M188/L188)</f>
        <v/>
      </c>
      <c r="O188">
        <f>IF(M188="","",IF(M188&gt;0,"Win",IF(M188&lt;0,"Loss","Scratch")))</f>
        <v/>
      </c>
    </row>
    <row r="189">
      <c r="A189" s="5" t="n"/>
      <c r="G189" s="6" t="n"/>
      <c r="H189" s="6" t="n"/>
      <c r="J189" s="6" t="n"/>
      <c r="K189" s="6" t="n"/>
      <c r="L189" s="7">
        <f>IF(OR(G189="",J189="",I189=""),"",ABS(G189-J189)*I189)</f>
        <v/>
      </c>
      <c r="M189" s="7">
        <f>IF(OR(G189="",H189="",I189="",F189=""),"",IF(F189="Long",(H189-G189)*I189,(G189-H189)*I189))</f>
        <v/>
      </c>
      <c r="N189" s="6">
        <f>IF(OR(M189="",L189="",L189=0),"",M189/L189)</f>
        <v/>
      </c>
      <c r="O189">
        <f>IF(M189="","",IF(M189&gt;0,"Win",IF(M189&lt;0,"Loss","Scratch")))</f>
        <v/>
      </c>
    </row>
    <row r="190">
      <c r="A190" s="5" t="n"/>
      <c r="G190" s="6" t="n"/>
      <c r="H190" s="6" t="n"/>
      <c r="J190" s="6" t="n"/>
      <c r="K190" s="6" t="n"/>
      <c r="L190" s="7">
        <f>IF(OR(G190="",J190="",I190=""),"",ABS(G190-J190)*I190)</f>
        <v/>
      </c>
      <c r="M190" s="7">
        <f>IF(OR(G190="",H190="",I190="",F190=""),"",IF(F190="Long",(H190-G190)*I190,(G190-H190)*I190))</f>
        <v/>
      </c>
      <c r="N190" s="6">
        <f>IF(OR(M190="",L190="",L190=0),"",M190/L190)</f>
        <v/>
      </c>
      <c r="O190">
        <f>IF(M190="","",IF(M190&gt;0,"Win",IF(M190&lt;0,"Loss","Scratch")))</f>
        <v/>
      </c>
    </row>
    <row r="191">
      <c r="A191" s="5" t="n"/>
      <c r="G191" s="6" t="n"/>
      <c r="H191" s="6" t="n"/>
      <c r="J191" s="6" t="n"/>
      <c r="K191" s="6" t="n"/>
      <c r="L191" s="7">
        <f>IF(OR(G191="",J191="",I191=""),"",ABS(G191-J191)*I191)</f>
        <v/>
      </c>
      <c r="M191" s="7">
        <f>IF(OR(G191="",H191="",I191="",F191=""),"",IF(F191="Long",(H191-G191)*I191,(G191-H191)*I191))</f>
        <v/>
      </c>
      <c r="N191" s="6">
        <f>IF(OR(M191="",L191="",L191=0),"",M191/L191)</f>
        <v/>
      </c>
      <c r="O191">
        <f>IF(M191="","",IF(M191&gt;0,"Win",IF(M191&lt;0,"Loss","Scratch")))</f>
        <v/>
      </c>
    </row>
    <row r="192">
      <c r="A192" s="5" t="n"/>
      <c r="G192" s="6" t="n"/>
      <c r="H192" s="6" t="n"/>
      <c r="J192" s="6" t="n"/>
      <c r="K192" s="6" t="n"/>
      <c r="L192" s="7">
        <f>IF(OR(G192="",J192="",I192=""),"",ABS(G192-J192)*I192)</f>
        <v/>
      </c>
      <c r="M192" s="7">
        <f>IF(OR(G192="",H192="",I192="",F192=""),"",IF(F192="Long",(H192-G192)*I192,(G192-H192)*I192))</f>
        <v/>
      </c>
      <c r="N192" s="6">
        <f>IF(OR(M192="",L192="",L192=0),"",M192/L192)</f>
        <v/>
      </c>
      <c r="O192">
        <f>IF(M192="","",IF(M192&gt;0,"Win",IF(M192&lt;0,"Loss","Scratch")))</f>
        <v/>
      </c>
    </row>
    <row r="193">
      <c r="A193" s="5" t="n"/>
      <c r="G193" s="6" t="n"/>
      <c r="H193" s="6" t="n"/>
      <c r="J193" s="6" t="n"/>
      <c r="K193" s="6" t="n"/>
      <c r="L193" s="7">
        <f>IF(OR(G193="",J193="",I193=""),"",ABS(G193-J193)*I193)</f>
        <v/>
      </c>
      <c r="M193" s="7">
        <f>IF(OR(G193="",H193="",I193="",F193=""),"",IF(F193="Long",(H193-G193)*I193,(G193-H193)*I193))</f>
        <v/>
      </c>
      <c r="N193" s="6">
        <f>IF(OR(M193="",L193="",L193=0),"",M193/L193)</f>
        <v/>
      </c>
      <c r="O193">
        <f>IF(M193="","",IF(M193&gt;0,"Win",IF(M193&lt;0,"Loss","Scratch")))</f>
        <v/>
      </c>
    </row>
    <row r="194">
      <c r="A194" s="5" t="n"/>
      <c r="G194" s="6" t="n"/>
      <c r="H194" s="6" t="n"/>
      <c r="J194" s="6" t="n"/>
      <c r="K194" s="6" t="n"/>
      <c r="L194" s="7">
        <f>IF(OR(G194="",J194="",I194=""),"",ABS(G194-J194)*I194)</f>
        <v/>
      </c>
      <c r="M194" s="7">
        <f>IF(OR(G194="",H194="",I194="",F194=""),"",IF(F194="Long",(H194-G194)*I194,(G194-H194)*I194))</f>
        <v/>
      </c>
      <c r="N194" s="6">
        <f>IF(OR(M194="",L194="",L194=0),"",M194/L194)</f>
        <v/>
      </c>
      <c r="O194">
        <f>IF(M194="","",IF(M194&gt;0,"Win",IF(M194&lt;0,"Loss","Scratch")))</f>
        <v/>
      </c>
    </row>
    <row r="195">
      <c r="A195" s="5" t="n"/>
      <c r="G195" s="6" t="n"/>
      <c r="H195" s="6" t="n"/>
      <c r="J195" s="6" t="n"/>
      <c r="K195" s="6" t="n"/>
      <c r="L195" s="7">
        <f>IF(OR(G195="",J195="",I195=""),"",ABS(G195-J195)*I195)</f>
        <v/>
      </c>
      <c r="M195" s="7">
        <f>IF(OR(G195="",H195="",I195="",F195=""),"",IF(F195="Long",(H195-G195)*I195,(G195-H195)*I195))</f>
        <v/>
      </c>
      <c r="N195" s="6">
        <f>IF(OR(M195="",L195="",L195=0),"",M195/L195)</f>
        <v/>
      </c>
      <c r="O195">
        <f>IF(M195="","",IF(M195&gt;0,"Win",IF(M195&lt;0,"Loss","Scratch")))</f>
        <v/>
      </c>
    </row>
    <row r="196">
      <c r="A196" s="5" t="n"/>
      <c r="G196" s="6" t="n"/>
      <c r="H196" s="6" t="n"/>
      <c r="J196" s="6" t="n"/>
      <c r="K196" s="6" t="n"/>
      <c r="L196" s="7">
        <f>IF(OR(G196="",J196="",I196=""),"",ABS(G196-J196)*I196)</f>
        <v/>
      </c>
      <c r="M196" s="7">
        <f>IF(OR(G196="",H196="",I196="",F196=""),"",IF(F196="Long",(H196-G196)*I196,(G196-H196)*I196))</f>
        <v/>
      </c>
      <c r="N196" s="6">
        <f>IF(OR(M196="",L196="",L196=0),"",M196/L196)</f>
        <v/>
      </c>
      <c r="O196">
        <f>IF(M196="","",IF(M196&gt;0,"Win",IF(M196&lt;0,"Loss","Scratch")))</f>
        <v/>
      </c>
    </row>
    <row r="197">
      <c r="A197" s="5" t="n"/>
      <c r="G197" s="6" t="n"/>
      <c r="H197" s="6" t="n"/>
      <c r="J197" s="6" t="n"/>
      <c r="K197" s="6" t="n"/>
      <c r="L197" s="7">
        <f>IF(OR(G197="",J197="",I197=""),"",ABS(G197-J197)*I197)</f>
        <v/>
      </c>
      <c r="M197" s="7">
        <f>IF(OR(G197="",H197="",I197="",F197=""),"",IF(F197="Long",(H197-G197)*I197,(G197-H197)*I197))</f>
        <v/>
      </c>
      <c r="N197" s="6">
        <f>IF(OR(M197="",L197="",L197=0),"",M197/L197)</f>
        <v/>
      </c>
      <c r="O197">
        <f>IF(M197="","",IF(M197&gt;0,"Win",IF(M197&lt;0,"Loss","Scratch")))</f>
        <v/>
      </c>
    </row>
    <row r="198">
      <c r="A198" s="5" t="n"/>
      <c r="G198" s="6" t="n"/>
      <c r="H198" s="6" t="n"/>
      <c r="J198" s="6" t="n"/>
      <c r="K198" s="6" t="n"/>
      <c r="L198" s="7">
        <f>IF(OR(G198="",J198="",I198=""),"",ABS(G198-J198)*I198)</f>
        <v/>
      </c>
      <c r="M198" s="7">
        <f>IF(OR(G198="",H198="",I198="",F198=""),"",IF(F198="Long",(H198-G198)*I198,(G198-H198)*I198))</f>
        <v/>
      </c>
      <c r="N198" s="6">
        <f>IF(OR(M198="",L198="",L198=0),"",M198/L198)</f>
        <v/>
      </c>
      <c r="O198">
        <f>IF(M198="","",IF(M198&gt;0,"Win",IF(M198&lt;0,"Loss","Scratch")))</f>
        <v/>
      </c>
    </row>
    <row r="199">
      <c r="A199" s="5" t="n"/>
      <c r="G199" s="6" t="n"/>
      <c r="H199" s="6" t="n"/>
      <c r="J199" s="6" t="n"/>
      <c r="K199" s="6" t="n"/>
      <c r="L199" s="7">
        <f>IF(OR(G199="",J199="",I199=""),"",ABS(G199-J199)*I199)</f>
        <v/>
      </c>
      <c r="M199" s="7">
        <f>IF(OR(G199="",H199="",I199="",F199=""),"",IF(F199="Long",(H199-G199)*I199,(G199-H199)*I199))</f>
        <v/>
      </c>
      <c r="N199" s="6">
        <f>IF(OR(M199="",L199="",L199=0),"",M199/L199)</f>
        <v/>
      </c>
      <c r="O199">
        <f>IF(M199="","",IF(M199&gt;0,"Win",IF(M199&lt;0,"Loss","Scratch")))</f>
        <v/>
      </c>
    </row>
    <row r="200">
      <c r="A200" s="5" t="n"/>
      <c r="G200" s="6" t="n"/>
      <c r="H200" s="6" t="n"/>
      <c r="J200" s="6" t="n"/>
      <c r="K200" s="6" t="n"/>
      <c r="L200" s="7">
        <f>IF(OR(G200="",J200="",I200=""),"",ABS(G200-J200)*I200)</f>
        <v/>
      </c>
      <c r="M200" s="7">
        <f>IF(OR(G200="",H200="",I200="",F200=""),"",IF(F200="Long",(H200-G200)*I200,(G200-H200)*I200))</f>
        <v/>
      </c>
      <c r="N200" s="6">
        <f>IF(OR(M200="",L200="",L200=0),"",M200/L200)</f>
        <v/>
      </c>
      <c r="O200">
        <f>IF(M200="","",IF(M200&gt;0,"Win",IF(M200&lt;0,"Loss","Scratch")))</f>
        <v/>
      </c>
    </row>
    <row r="201">
      <c r="A201" s="5" t="n"/>
      <c r="G201" s="6" t="n"/>
      <c r="H201" s="6" t="n"/>
      <c r="J201" s="6" t="n"/>
      <c r="K201" s="6" t="n"/>
      <c r="L201" s="7">
        <f>IF(OR(G201="",J201="",I201=""),"",ABS(G201-J201)*I201)</f>
        <v/>
      </c>
      <c r="M201" s="7">
        <f>IF(OR(G201="",H201="",I201="",F201=""),"",IF(F201="Long",(H201-G201)*I201,(G201-H201)*I201))</f>
        <v/>
      </c>
      <c r="N201" s="6">
        <f>IF(OR(M201="",L201="",L201=0),"",M201/L201)</f>
        <v/>
      </c>
      <c r="O201">
        <f>IF(M201="","",IF(M201&gt;0,"Win",IF(M201&lt;0,"Loss","Scratch")))</f>
        <v/>
      </c>
    </row>
    <row r="202">
      <c r="A202" s="5" t="n"/>
      <c r="G202" s="6" t="n"/>
      <c r="H202" s="6" t="n"/>
      <c r="J202" s="6" t="n"/>
      <c r="K202" s="6" t="n"/>
      <c r="L202" s="7">
        <f>IF(OR(G202="",J202="",I202=""),"",ABS(G202-J202)*I202)</f>
        <v/>
      </c>
      <c r="M202" s="7">
        <f>IF(OR(G202="",H202="",I202="",F202=""),"",IF(F202="Long",(H202-G202)*I202,(G202-H202)*I202))</f>
        <v/>
      </c>
      <c r="N202" s="6">
        <f>IF(OR(M202="",L202="",L202=0),"",M202/L202)</f>
        <v/>
      </c>
      <c r="O202">
        <f>IF(M202="","",IF(M202&gt;0,"Win",IF(M202&lt;0,"Loss","Scratch")))</f>
        <v/>
      </c>
    </row>
    <row r="203">
      <c r="A203" s="5" t="n"/>
      <c r="G203" s="6" t="n"/>
      <c r="H203" s="6" t="n"/>
      <c r="J203" s="6" t="n"/>
      <c r="K203" s="6" t="n"/>
      <c r="L203" s="7">
        <f>IF(OR(G203="",J203="",I203=""),"",ABS(G203-J203)*I203)</f>
        <v/>
      </c>
      <c r="M203" s="7">
        <f>IF(OR(G203="",H203="",I203="",F203=""),"",IF(F203="Long",(H203-G203)*I203,(G203-H203)*I203))</f>
        <v/>
      </c>
      <c r="N203" s="6">
        <f>IF(OR(M203="",L203="",L203=0),"",M203/L203)</f>
        <v/>
      </c>
      <c r="O203">
        <f>IF(M203="","",IF(M203&gt;0,"Win",IF(M203&lt;0,"Loss","Scratch")))</f>
        <v/>
      </c>
    </row>
    <row r="204">
      <c r="A204" s="5" t="n"/>
      <c r="G204" s="6" t="n"/>
      <c r="H204" s="6" t="n"/>
      <c r="J204" s="6" t="n"/>
      <c r="K204" s="6" t="n"/>
      <c r="L204" s="7">
        <f>IF(OR(G204="",J204="",I204=""),"",ABS(G204-J204)*I204)</f>
        <v/>
      </c>
      <c r="M204" s="7">
        <f>IF(OR(G204="",H204="",I204="",F204=""),"",IF(F204="Long",(H204-G204)*I204,(G204-H204)*I204))</f>
        <v/>
      </c>
      <c r="N204" s="6">
        <f>IF(OR(M204="",L204="",L204=0),"",M204/L204)</f>
        <v/>
      </c>
      <c r="O204">
        <f>IF(M204="","",IF(M204&gt;0,"Win",IF(M204&lt;0,"Loss","Scratch")))</f>
        <v/>
      </c>
    </row>
    <row r="205">
      <c r="A205" s="5" t="n"/>
      <c r="G205" s="6" t="n"/>
      <c r="H205" s="6" t="n"/>
      <c r="J205" s="6" t="n"/>
      <c r="K205" s="6" t="n"/>
      <c r="L205" s="7">
        <f>IF(OR(G205="",J205="",I205=""),"",ABS(G205-J205)*I205)</f>
        <v/>
      </c>
      <c r="M205" s="7">
        <f>IF(OR(G205="",H205="",I205="",F205=""),"",IF(F205="Long",(H205-G205)*I205,(G205-H205)*I205))</f>
        <v/>
      </c>
      <c r="N205" s="6">
        <f>IF(OR(M205="",L205="",L205=0),"",M205/L205)</f>
        <v/>
      </c>
      <c r="O205">
        <f>IF(M205="","",IF(M205&gt;0,"Win",IF(M205&lt;0,"Loss","Scratch")))</f>
        <v/>
      </c>
    </row>
    <row r="206">
      <c r="A206" s="5" t="n"/>
      <c r="G206" s="6" t="n"/>
      <c r="H206" s="6" t="n"/>
      <c r="J206" s="6" t="n"/>
      <c r="K206" s="6" t="n"/>
      <c r="L206" s="7">
        <f>IF(OR(G206="",J206="",I206=""),"",ABS(G206-J206)*I206)</f>
        <v/>
      </c>
      <c r="M206" s="7">
        <f>IF(OR(G206="",H206="",I206="",F206=""),"",IF(F206="Long",(H206-G206)*I206,(G206-H206)*I206))</f>
        <v/>
      </c>
      <c r="N206" s="6">
        <f>IF(OR(M206="",L206="",L206=0),"",M206/L206)</f>
        <v/>
      </c>
      <c r="O206">
        <f>IF(M206="","",IF(M206&gt;0,"Win",IF(M206&lt;0,"Loss","Scratch")))</f>
        <v/>
      </c>
    </row>
    <row r="207">
      <c r="A207" s="5" t="n"/>
      <c r="G207" s="6" t="n"/>
      <c r="H207" s="6" t="n"/>
      <c r="J207" s="6" t="n"/>
      <c r="K207" s="6" t="n"/>
      <c r="L207" s="7">
        <f>IF(OR(G207="",J207="",I207=""),"",ABS(G207-J207)*I207)</f>
        <v/>
      </c>
      <c r="M207" s="7">
        <f>IF(OR(G207="",H207="",I207="",F207=""),"",IF(F207="Long",(H207-G207)*I207,(G207-H207)*I207))</f>
        <v/>
      </c>
      <c r="N207" s="6">
        <f>IF(OR(M207="",L207="",L207=0),"",M207/L207)</f>
        <v/>
      </c>
      <c r="O207">
        <f>IF(M207="","",IF(M207&gt;0,"Win",IF(M207&lt;0,"Loss","Scratch")))</f>
        <v/>
      </c>
    </row>
    <row r="208">
      <c r="A208" s="5" t="n"/>
      <c r="G208" s="6" t="n"/>
      <c r="H208" s="6" t="n"/>
      <c r="J208" s="6" t="n"/>
      <c r="K208" s="6" t="n"/>
      <c r="L208" s="7">
        <f>IF(OR(G208="",J208="",I208=""),"",ABS(G208-J208)*I208)</f>
        <v/>
      </c>
      <c r="M208" s="7">
        <f>IF(OR(G208="",H208="",I208="",F208=""),"",IF(F208="Long",(H208-G208)*I208,(G208-H208)*I208))</f>
        <v/>
      </c>
      <c r="N208" s="6">
        <f>IF(OR(M208="",L208="",L208=0),"",M208/L208)</f>
        <v/>
      </c>
      <c r="O208">
        <f>IF(M208="","",IF(M208&gt;0,"Win",IF(M208&lt;0,"Loss","Scratch")))</f>
        <v/>
      </c>
    </row>
    <row r="209">
      <c r="A209" s="5" t="n"/>
      <c r="G209" s="6" t="n"/>
      <c r="H209" s="6" t="n"/>
      <c r="J209" s="6" t="n"/>
      <c r="K209" s="6" t="n"/>
      <c r="L209" s="7">
        <f>IF(OR(G209="",J209="",I209=""),"",ABS(G209-J209)*I209)</f>
        <v/>
      </c>
      <c r="M209" s="7">
        <f>IF(OR(G209="",H209="",I209="",F209=""),"",IF(F209="Long",(H209-G209)*I209,(G209-H209)*I209))</f>
        <v/>
      </c>
      <c r="N209" s="6">
        <f>IF(OR(M209="",L209="",L209=0),"",M209/L209)</f>
        <v/>
      </c>
      <c r="O209">
        <f>IF(M209="","",IF(M209&gt;0,"Win",IF(M209&lt;0,"Loss","Scratch")))</f>
        <v/>
      </c>
    </row>
    <row r="210">
      <c r="A210" s="5" t="n"/>
      <c r="G210" s="6" t="n"/>
      <c r="H210" s="6" t="n"/>
      <c r="J210" s="6" t="n"/>
      <c r="K210" s="6" t="n"/>
      <c r="L210" s="7">
        <f>IF(OR(G210="",J210="",I210=""),"",ABS(G210-J210)*I210)</f>
        <v/>
      </c>
      <c r="M210" s="7">
        <f>IF(OR(G210="",H210="",I210="",F210=""),"",IF(F210="Long",(H210-G210)*I210,(G210-H210)*I210))</f>
        <v/>
      </c>
      <c r="N210" s="6">
        <f>IF(OR(M210="",L210="",L210=0),"",M210/L210)</f>
        <v/>
      </c>
      <c r="O210">
        <f>IF(M210="","",IF(M210&gt;0,"Win",IF(M210&lt;0,"Loss","Scratch")))</f>
        <v/>
      </c>
    </row>
    <row r="211">
      <c r="A211" s="5" t="n"/>
      <c r="G211" s="6" t="n"/>
      <c r="H211" s="6" t="n"/>
      <c r="J211" s="6" t="n"/>
      <c r="K211" s="6" t="n"/>
      <c r="L211" s="7">
        <f>IF(OR(G211="",J211="",I211=""),"",ABS(G211-J211)*I211)</f>
        <v/>
      </c>
      <c r="M211" s="7">
        <f>IF(OR(G211="",H211="",I211="",F211=""),"",IF(F211="Long",(H211-G211)*I211,(G211-H211)*I211))</f>
        <v/>
      </c>
      <c r="N211" s="6">
        <f>IF(OR(M211="",L211="",L211=0),"",M211/L211)</f>
        <v/>
      </c>
      <c r="O211">
        <f>IF(M211="","",IF(M211&gt;0,"Win",IF(M211&lt;0,"Loss","Scratch")))</f>
        <v/>
      </c>
    </row>
    <row r="212">
      <c r="A212" s="5" t="n"/>
      <c r="G212" s="6" t="n"/>
      <c r="H212" s="6" t="n"/>
      <c r="J212" s="6" t="n"/>
      <c r="K212" s="6" t="n"/>
      <c r="L212" s="7">
        <f>IF(OR(G212="",J212="",I212=""),"",ABS(G212-J212)*I212)</f>
        <v/>
      </c>
      <c r="M212" s="7">
        <f>IF(OR(G212="",H212="",I212="",F212=""),"",IF(F212="Long",(H212-G212)*I212,(G212-H212)*I212))</f>
        <v/>
      </c>
      <c r="N212" s="6">
        <f>IF(OR(M212="",L212="",L212=0),"",M212/L212)</f>
        <v/>
      </c>
      <c r="O212">
        <f>IF(M212="","",IF(M212&gt;0,"Win",IF(M212&lt;0,"Loss","Scratch")))</f>
        <v/>
      </c>
    </row>
    <row r="213">
      <c r="A213" s="5" t="n"/>
      <c r="G213" s="6" t="n"/>
      <c r="H213" s="6" t="n"/>
      <c r="J213" s="6" t="n"/>
      <c r="K213" s="6" t="n"/>
      <c r="L213" s="7">
        <f>IF(OR(G213="",J213="",I213=""),"",ABS(G213-J213)*I213)</f>
        <v/>
      </c>
      <c r="M213" s="7">
        <f>IF(OR(G213="",H213="",I213="",F213=""),"",IF(F213="Long",(H213-G213)*I213,(G213-H213)*I213))</f>
        <v/>
      </c>
      <c r="N213" s="6">
        <f>IF(OR(M213="",L213="",L213=0),"",M213/L213)</f>
        <v/>
      </c>
      <c r="O213">
        <f>IF(M213="","",IF(M213&gt;0,"Win",IF(M213&lt;0,"Loss","Scratch")))</f>
        <v/>
      </c>
    </row>
    <row r="214">
      <c r="A214" s="5" t="n"/>
      <c r="G214" s="6" t="n"/>
      <c r="H214" s="6" t="n"/>
      <c r="J214" s="6" t="n"/>
      <c r="K214" s="6" t="n"/>
      <c r="L214" s="7">
        <f>IF(OR(G214="",J214="",I214=""),"",ABS(G214-J214)*I214)</f>
        <v/>
      </c>
      <c r="M214" s="7">
        <f>IF(OR(G214="",H214="",I214="",F214=""),"",IF(F214="Long",(H214-G214)*I214,(G214-H214)*I214))</f>
        <v/>
      </c>
      <c r="N214" s="6">
        <f>IF(OR(M214="",L214="",L214=0),"",M214/L214)</f>
        <v/>
      </c>
      <c r="O214">
        <f>IF(M214="","",IF(M214&gt;0,"Win",IF(M214&lt;0,"Loss","Scratch")))</f>
        <v/>
      </c>
    </row>
    <row r="215">
      <c r="A215" s="5" t="n"/>
      <c r="G215" s="6" t="n"/>
      <c r="H215" s="6" t="n"/>
      <c r="J215" s="6" t="n"/>
      <c r="K215" s="6" t="n"/>
      <c r="L215" s="7">
        <f>IF(OR(G215="",J215="",I215=""),"",ABS(G215-J215)*I215)</f>
        <v/>
      </c>
      <c r="M215" s="7">
        <f>IF(OR(G215="",H215="",I215="",F215=""),"",IF(F215="Long",(H215-G215)*I215,(G215-H215)*I215))</f>
        <v/>
      </c>
      <c r="N215" s="6">
        <f>IF(OR(M215="",L215="",L215=0),"",M215/L215)</f>
        <v/>
      </c>
      <c r="O215">
        <f>IF(M215="","",IF(M215&gt;0,"Win",IF(M215&lt;0,"Loss","Scratch")))</f>
        <v/>
      </c>
    </row>
    <row r="216">
      <c r="A216" s="5" t="n"/>
      <c r="G216" s="6" t="n"/>
      <c r="H216" s="6" t="n"/>
      <c r="J216" s="6" t="n"/>
      <c r="K216" s="6" t="n"/>
      <c r="L216" s="7">
        <f>IF(OR(G216="",J216="",I216=""),"",ABS(G216-J216)*I216)</f>
        <v/>
      </c>
      <c r="M216" s="7">
        <f>IF(OR(G216="",H216="",I216="",F216=""),"",IF(F216="Long",(H216-G216)*I216,(G216-H216)*I216))</f>
        <v/>
      </c>
      <c r="N216" s="6">
        <f>IF(OR(M216="",L216="",L216=0),"",M216/L216)</f>
        <v/>
      </c>
      <c r="O216">
        <f>IF(M216="","",IF(M216&gt;0,"Win",IF(M216&lt;0,"Loss","Scratch")))</f>
        <v/>
      </c>
    </row>
    <row r="217">
      <c r="A217" s="5" t="n"/>
      <c r="G217" s="6" t="n"/>
      <c r="H217" s="6" t="n"/>
      <c r="J217" s="6" t="n"/>
      <c r="K217" s="6" t="n"/>
      <c r="L217" s="7">
        <f>IF(OR(G217="",J217="",I217=""),"",ABS(G217-J217)*I217)</f>
        <v/>
      </c>
      <c r="M217" s="7">
        <f>IF(OR(G217="",H217="",I217="",F217=""),"",IF(F217="Long",(H217-G217)*I217,(G217-H217)*I217))</f>
        <v/>
      </c>
      <c r="N217" s="6">
        <f>IF(OR(M217="",L217="",L217=0),"",M217/L217)</f>
        <v/>
      </c>
      <c r="O217">
        <f>IF(M217="","",IF(M217&gt;0,"Win",IF(M217&lt;0,"Loss","Scratch")))</f>
        <v/>
      </c>
    </row>
    <row r="218">
      <c r="A218" s="5" t="n"/>
      <c r="G218" s="6" t="n"/>
      <c r="H218" s="6" t="n"/>
      <c r="J218" s="6" t="n"/>
      <c r="K218" s="6" t="n"/>
      <c r="L218" s="7">
        <f>IF(OR(G218="",J218="",I218=""),"",ABS(G218-J218)*I218)</f>
        <v/>
      </c>
      <c r="M218" s="7">
        <f>IF(OR(G218="",H218="",I218="",F218=""),"",IF(F218="Long",(H218-G218)*I218,(G218-H218)*I218))</f>
        <v/>
      </c>
      <c r="N218" s="6">
        <f>IF(OR(M218="",L218="",L218=0),"",M218/L218)</f>
        <v/>
      </c>
      <c r="O218">
        <f>IF(M218="","",IF(M218&gt;0,"Win",IF(M218&lt;0,"Loss","Scratch")))</f>
        <v/>
      </c>
    </row>
    <row r="219">
      <c r="A219" s="5" t="n"/>
      <c r="G219" s="6" t="n"/>
      <c r="H219" s="6" t="n"/>
      <c r="J219" s="6" t="n"/>
      <c r="K219" s="6" t="n"/>
      <c r="L219" s="7">
        <f>IF(OR(G219="",J219="",I219=""),"",ABS(G219-J219)*I219)</f>
        <v/>
      </c>
      <c r="M219" s="7">
        <f>IF(OR(G219="",H219="",I219="",F219=""),"",IF(F219="Long",(H219-G219)*I219,(G219-H219)*I219))</f>
        <v/>
      </c>
      <c r="N219" s="6">
        <f>IF(OR(M219="",L219="",L219=0),"",M219/L219)</f>
        <v/>
      </c>
      <c r="O219">
        <f>IF(M219="","",IF(M219&gt;0,"Win",IF(M219&lt;0,"Loss","Scratch")))</f>
        <v/>
      </c>
    </row>
    <row r="220">
      <c r="A220" s="5" t="n"/>
      <c r="G220" s="6" t="n"/>
      <c r="H220" s="6" t="n"/>
      <c r="J220" s="6" t="n"/>
      <c r="K220" s="6" t="n"/>
      <c r="L220" s="7">
        <f>IF(OR(G220="",J220="",I220=""),"",ABS(G220-J220)*I220)</f>
        <v/>
      </c>
      <c r="M220" s="7">
        <f>IF(OR(G220="",H220="",I220="",F220=""),"",IF(F220="Long",(H220-G220)*I220,(G220-H220)*I220))</f>
        <v/>
      </c>
      <c r="N220" s="6">
        <f>IF(OR(M220="",L220="",L220=0),"",M220/L220)</f>
        <v/>
      </c>
      <c r="O220">
        <f>IF(M220="","",IF(M220&gt;0,"Win",IF(M220&lt;0,"Loss","Scratch")))</f>
        <v/>
      </c>
    </row>
    <row r="221">
      <c r="A221" s="5" t="n"/>
      <c r="G221" s="6" t="n"/>
      <c r="H221" s="6" t="n"/>
      <c r="J221" s="6" t="n"/>
      <c r="K221" s="6" t="n"/>
      <c r="L221" s="7">
        <f>IF(OR(G221="",J221="",I221=""),"",ABS(G221-J221)*I221)</f>
        <v/>
      </c>
      <c r="M221" s="7">
        <f>IF(OR(G221="",H221="",I221="",F221=""),"",IF(F221="Long",(H221-G221)*I221,(G221-H221)*I221))</f>
        <v/>
      </c>
      <c r="N221" s="6">
        <f>IF(OR(M221="",L221="",L221=0),"",M221/L221)</f>
        <v/>
      </c>
      <c r="O221">
        <f>IF(M221="","",IF(M221&gt;0,"Win",IF(M221&lt;0,"Loss","Scratch")))</f>
        <v/>
      </c>
    </row>
    <row r="222">
      <c r="A222" s="5" t="n"/>
      <c r="G222" s="6" t="n"/>
      <c r="H222" s="6" t="n"/>
      <c r="J222" s="6" t="n"/>
      <c r="K222" s="6" t="n"/>
      <c r="L222" s="7">
        <f>IF(OR(G222="",J222="",I222=""),"",ABS(G222-J222)*I222)</f>
        <v/>
      </c>
      <c r="M222" s="7">
        <f>IF(OR(G222="",H222="",I222="",F222=""),"",IF(F222="Long",(H222-G222)*I222,(G222-H222)*I222))</f>
        <v/>
      </c>
      <c r="N222" s="6">
        <f>IF(OR(M222="",L222="",L222=0),"",M222/L222)</f>
        <v/>
      </c>
      <c r="O222">
        <f>IF(M222="","",IF(M222&gt;0,"Win",IF(M222&lt;0,"Loss","Scratch")))</f>
        <v/>
      </c>
    </row>
    <row r="223">
      <c r="A223" s="5" t="n"/>
      <c r="G223" s="6" t="n"/>
      <c r="H223" s="6" t="n"/>
      <c r="J223" s="6" t="n"/>
      <c r="K223" s="6" t="n"/>
      <c r="L223" s="7">
        <f>IF(OR(G223="",J223="",I223=""),"",ABS(G223-J223)*I223)</f>
        <v/>
      </c>
      <c r="M223" s="7">
        <f>IF(OR(G223="",H223="",I223="",F223=""),"",IF(F223="Long",(H223-G223)*I223,(G223-H223)*I223))</f>
        <v/>
      </c>
      <c r="N223" s="6">
        <f>IF(OR(M223="",L223="",L223=0),"",M223/L223)</f>
        <v/>
      </c>
      <c r="O223">
        <f>IF(M223="","",IF(M223&gt;0,"Win",IF(M223&lt;0,"Loss","Scratch")))</f>
        <v/>
      </c>
    </row>
    <row r="224">
      <c r="A224" s="5" t="n"/>
      <c r="G224" s="6" t="n"/>
      <c r="H224" s="6" t="n"/>
      <c r="J224" s="6" t="n"/>
      <c r="K224" s="6" t="n"/>
      <c r="L224" s="7">
        <f>IF(OR(G224="",J224="",I224=""),"",ABS(G224-J224)*I224)</f>
        <v/>
      </c>
      <c r="M224" s="7">
        <f>IF(OR(G224="",H224="",I224="",F224=""),"",IF(F224="Long",(H224-G224)*I224,(G224-H224)*I224))</f>
        <v/>
      </c>
      <c r="N224" s="6">
        <f>IF(OR(M224="",L224="",L224=0),"",M224/L224)</f>
        <v/>
      </c>
      <c r="O224">
        <f>IF(M224="","",IF(M224&gt;0,"Win",IF(M224&lt;0,"Loss","Scratch")))</f>
        <v/>
      </c>
    </row>
    <row r="225">
      <c r="A225" s="5" t="n"/>
      <c r="G225" s="6" t="n"/>
      <c r="H225" s="6" t="n"/>
      <c r="J225" s="6" t="n"/>
      <c r="K225" s="6" t="n"/>
      <c r="L225" s="7">
        <f>IF(OR(G225="",J225="",I225=""),"",ABS(G225-J225)*I225)</f>
        <v/>
      </c>
      <c r="M225" s="7">
        <f>IF(OR(G225="",H225="",I225="",F225=""),"",IF(F225="Long",(H225-G225)*I225,(G225-H225)*I225))</f>
        <v/>
      </c>
      <c r="N225" s="6">
        <f>IF(OR(M225="",L225="",L225=0),"",M225/L225)</f>
        <v/>
      </c>
      <c r="O225">
        <f>IF(M225="","",IF(M225&gt;0,"Win",IF(M225&lt;0,"Loss","Scratch")))</f>
        <v/>
      </c>
    </row>
    <row r="226">
      <c r="A226" s="5" t="n"/>
      <c r="G226" s="6" t="n"/>
      <c r="H226" s="6" t="n"/>
      <c r="J226" s="6" t="n"/>
      <c r="K226" s="6" t="n"/>
      <c r="L226" s="7">
        <f>IF(OR(G226="",J226="",I226=""),"",ABS(G226-J226)*I226)</f>
        <v/>
      </c>
      <c r="M226" s="7">
        <f>IF(OR(G226="",H226="",I226="",F226=""),"",IF(F226="Long",(H226-G226)*I226,(G226-H226)*I226))</f>
        <v/>
      </c>
      <c r="N226" s="6">
        <f>IF(OR(M226="",L226="",L226=0),"",M226/L226)</f>
        <v/>
      </c>
      <c r="O226">
        <f>IF(M226="","",IF(M226&gt;0,"Win",IF(M226&lt;0,"Loss","Scratch")))</f>
        <v/>
      </c>
    </row>
    <row r="227">
      <c r="A227" s="5" t="n"/>
      <c r="G227" s="6" t="n"/>
      <c r="H227" s="6" t="n"/>
      <c r="J227" s="6" t="n"/>
      <c r="K227" s="6" t="n"/>
      <c r="L227" s="7">
        <f>IF(OR(G227="",J227="",I227=""),"",ABS(G227-J227)*I227)</f>
        <v/>
      </c>
      <c r="M227" s="7">
        <f>IF(OR(G227="",H227="",I227="",F227=""),"",IF(F227="Long",(H227-G227)*I227,(G227-H227)*I227))</f>
        <v/>
      </c>
      <c r="N227" s="6">
        <f>IF(OR(M227="",L227="",L227=0),"",M227/L227)</f>
        <v/>
      </c>
      <c r="O227">
        <f>IF(M227="","",IF(M227&gt;0,"Win",IF(M227&lt;0,"Loss","Scratch")))</f>
        <v/>
      </c>
    </row>
    <row r="228">
      <c r="A228" s="5" t="n"/>
      <c r="G228" s="6" t="n"/>
      <c r="H228" s="6" t="n"/>
      <c r="J228" s="6" t="n"/>
      <c r="K228" s="6" t="n"/>
      <c r="L228" s="7">
        <f>IF(OR(G228="",J228="",I228=""),"",ABS(G228-J228)*I228)</f>
        <v/>
      </c>
      <c r="M228" s="7">
        <f>IF(OR(G228="",H228="",I228="",F228=""),"",IF(F228="Long",(H228-G228)*I228,(G228-H228)*I228))</f>
        <v/>
      </c>
      <c r="N228" s="6">
        <f>IF(OR(M228="",L228="",L228=0),"",M228/L228)</f>
        <v/>
      </c>
      <c r="O228">
        <f>IF(M228="","",IF(M228&gt;0,"Win",IF(M228&lt;0,"Loss","Scratch")))</f>
        <v/>
      </c>
    </row>
    <row r="229">
      <c r="A229" s="5" t="n"/>
      <c r="G229" s="6" t="n"/>
      <c r="H229" s="6" t="n"/>
      <c r="J229" s="6" t="n"/>
      <c r="K229" s="6" t="n"/>
      <c r="L229" s="7">
        <f>IF(OR(G229="",J229="",I229=""),"",ABS(G229-J229)*I229)</f>
        <v/>
      </c>
      <c r="M229" s="7">
        <f>IF(OR(G229="",H229="",I229="",F229=""),"",IF(F229="Long",(H229-G229)*I229,(G229-H229)*I229))</f>
        <v/>
      </c>
      <c r="N229" s="6">
        <f>IF(OR(M229="",L229="",L229=0),"",M229/L229)</f>
        <v/>
      </c>
      <c r="O229">
        <f>IF(M229="","",IF(M229&gt;0,"Win",IF(M229&lt;0,"Loss","Scratch")))</f>
        <v/>
      </c>
    </row>
    <row r="230">
      <c r="A230" s="5" t="n"/>
      <c r="G230" s="6" t="n"/>
      <c r="H230" s="6" t="n"/>
      <c r="J230" s="6" t="n"/>
      <c r="K230" s="6" t="n"/>
      <c r="L230" s="7">
        <f>IF(OR(G230="",J230="",I230=""),"",ABS(G230-J230)*I230)</f>
        <v/>
      </c>
      <c r="M230" s="7">
        <f>IF(OR(G230="",H230="",I230="",F230=""),"",IF(F230="Long",(H230-G230)*I230,(G230-H230)*I230))</f>
        <v/>
      </c>
      <c r="N230" s="6">
        <f>IF(OR(M230="",L230="",L230=0),"",M230/L230)</f>
        <v/>
      </c>
      <c r="O230">
        <f>IF(M230="","",IF(M230&gt;0,"Win",IF(M230&lt;0,"Loss","Scratch")))</f>
        <v/>
      </c>
    </row>
    <row r="231">
      <c r="A231" s="5" t="n"/>
      <c r="G231" s="6" t="n"/>
      <c r="H231" s="6" t="n"/>
      <c r="J231" s="6" t="n"/>
      <c r="K231" s="6" t="n"/>
      <c r="L231" s="7">
        <f>IF(OR(G231="",J231="",I231=""),"",ABS(G231-J231)*I231)</f>
        <v/>
      </c>
      <c r="M231" s="7">
        <f>IF(OR(G231="",H231="",I231="",F231=""),"",IF(F231="Long",(H231-G231)*I231,(G231-H231)*I231))</f>
        <v/>
      </c>
      <c r="N231" s="6">
        <f>IF(OR(M231="",L231="",L231=0),"",M231/L231)</f>
        <v/>
      </c>
      <c r="O231">
        <f>IF(M231="","",IF(M231&gt;0,"Win",IF(M231&lt;0,"Loss","Scratch")))</f>
        <v/>
      </c>
    </row>
    <row r="232">
      <c r="A232" s="5" t="n"/>
      <c r="G232" s="6" t="n"/>
      <c r="H232" s="6" t="n"/>
      <c r="J232" s="6" t="n"/>
      <c r="K232" s="6" t="n"/>
      <c r="L232" s="7">
        <f>IF(OR(G232="",J232="",I232=""),"",ABS(G232-J232)*I232)</f>
        <v/>
      </c>
      <c r="M232" s="7">
        <f>IF(OR(G232="",H232="",I232="",F232=""),"",IF(F232="Long",(H232-G232)*I232,(G232-H232)*I232))</f>
        <v/>
      </c>
      <c r="N232" s="6">
        <f>IF(OR(M232="",L232="",L232=0),"",M232/L232)</f>
        <v/>
      </c>
      <c r="O232">
        <f>IF(M232="","",IF(M232&gt;0,"Win",IF(M232&lt;0,"Loss","Scratch")))</f>
        <v/>
      </c>
    </row>
    <row r="233">
      <c r="A233" s="5" t="n"/>
      <c r="G233" s="6" t="n"/>
      <c r="H233" s="6" t="n"/>
      <c r="J233" s="6" t="n"/>
      <c r="K233" s="6" t="n"/>
      <c r="L233" s="7">
        <f>IF(OR(G233="",J233="",I233=""),"",ABS(G233-J233)*I233)</f>
        <v/>
      </c>
      <c r="M233" s="7">
        <f>IF(OR(G233="",H233="",I233="",F233=""),"",IF(F233="Long",(H233-G233)*I233,(G233-H233)*I233))</f>
        <v/>
      </c>
      <c r="N233" s="6">
        <f>IF(OR(M233="",L233="",L233=0),"",M233/L233)</f>
        <v/>
      </c>
      <c r="O233">
        <f>IF(M233="","",IF(M233&gt;0,"Win",IF(M233&lt;0,"Loss","Scratch")))</f>
        <v/>
      </c>
    </row>
    <row r="234">
      <c r="A234" s="5" t="n"/>
      <c r="G234" s="6" t="n"/>
      <c r="H234" s="6" t="n"/>
      <c r="J234" s="6" t="n"/>
      <c r="K234" s="6" t="n"/>
      <c r="L234" s="7">
        <f>IF(OR(G234="",J234="",I234=""),"",ABS(G234-J234)*I234)</f>
        <v/>
      </c>
      <c r="M234" s="7">
        <f>IF(OR(G234="",H234="",I234="",F234=""),"",IF(F234="Long",(H234-G234)*I234,(G234-H234)*I234))</f>
        <v/>
      </c>
      <c r="N234" s="6">
        <f>IF(OR(M234="",L234="",L234=0),"",M234/L234)</f>
        <v/>
      </c>
      <c r="O234">
        <f>IF(M234="","",IF(M234&gt;0,"Win",IF(M234&lt;0,"Loss","Scratch")))</f>
        <v/>
      </c>
    </row>
    <row r="235">
      <c r="A235" s="5" t="n"/>
      <c r="G235" s="6" t="n"/>
      <c r="H235" s="6" t="n"/>
      <c r="J235" s="6" t="n"/>
      <c r="K235" s="6" t="n"/>
      <c r="L235" s="7">
        <f>IF(OR(G235="",J235="",I235=""),"",ABS(G235-J235)*I235)</f>
        <v/>
      </c>
      <c r="M235" s="7">
        <f>IF(OR(G235="",H235="",I235="",F235=""),"",IF(F235="Long",(H235-G235)*I235,(G235-H235)*I235))</f>
        <v/>
      </c>
      <c r="N235" s="6">
        <f>IF(OR(M235="",L235="",L235=0),"",M235/L235)</f>
        <v/>
      </c>
      <c r="O235">
        <f>IF(M235="","",IF(M235&gt;0,"Win",IF(M235&lt;0,"Loss","Scratch")))</f>
        <v/>
      </c>
    </row>
    <row r="236">
      <c r="A236" s="5" t="n"/>
      <c r="G236" s="6" t="n"/>
      <c r="H236" s="6" t="n"/>
      <c r="J236" s="6" t="n"/>
      <c r="K236" s="6" t="n"/>
      <c r="L236" s="7">
        <f>IF(OR(G236="",J236="",I236=""),"",ABS(G236-J236)*I236)</f>
        <v/>
      </c>
      <c r="M236" s="7">
        <f>IF(OR(G236="",H236="",I236="",F236=""),"",IF(F236="Long",(H236-G236)*I236,(G236-H236)*I236))</f>
        <v/>
      </c>
      <c r="N236" s="6">
        <f>IF(OR(M236="",L236="",L236=0),"",M236/L236)</f>
        <v/>
      </c>
      <c r="O236">
        <f>IF(M236="","",IF(M236&gt;0,"Win",IF(M236&lt;0,"Loss","Scratch")))</f>
        <v/>
      </c>
    </row>
    <row r="237">
      <c r="A237" s="5" t="n"/>
      <c r="G237" s="6" t="n"/>
      <c r="H237" s="6" t="n"/>
      <c r="J237" s="6" t="n"/>
      <c r="K237" s="6" t="n"/>
      <c r="L237" s="7">
        <f>IF(OR(G237="",J237="",I237=""),"",ABS(G237-J237)*I237)</f>
        <v/>
      </c>
      <c r="M237" s="7">
        <f>IF(OR(G237="",H237="",I237="",F237=""),"",IF(F237="Long",(H237-G237)*I237,(G237-H237)*I237))</f>
        <v/>
      </c>
      <c r="N237" s="6">
        <f>IF(OR(M237="",L237="",L237=0),"",M237/L237)</f>
        <v/>
      </c>
      <c r="O237">
        <f>IF(M237="","",IF(M237&gt;0,"Win",IF(M237&lt;0,"Loss","Scratch")))</f>
        <v/>
      </c>
    </row>
    <row r="238">
      <c r="A238" s="5" t="n"/>
      <c r="G238" s="6" t="n"/>
      <c r="H238" s="6" t="n"/>
      <c r="J238" s="6" t="n"/>
      <c r="K238" s="6" t="n"/>
      <c r="L238" s="7">
        <f>IF(OR(G238="",J238="",I238=""),"",ABS(G238-J238)*I238)</f>
        <v/>
      </c>
      <c r="M238" s="7">
        <f>IF(OR(G238="",H238="",I238="",F238=""),"",IF(F238="Long",(H238-G238)*I238,(G238-H238)*I238))</f>
        <v/>
      </c>
      <c r="N238" s="6">
        <f>IF(OR(M238="",L238="",L238=0),"",M238/L238)</f>
        <v/>
      </c>
      <c r="O238">
        <f>IF(M238="","",IF(M238&gt;0,"Win",IF(M238&lt;0,"Loss","Scratch")))</f>
        <v/>
      </c>
    </row>
    <row r="239">
      <c r="A239" s="5" t="n"/>
      <c r="G239" s="6" t="n"/>
      <c r="H239" s="6" t="n"/>
      <c r="J239" s="6" t="n"/>
      <c r="K239" s="6" t="n"/>
      <c r="L239" s="7">
        <f>IF(OR(G239="",J239="",I239=""),"",ABS(G239-J239)*I239)</f>
        <v/>
      </c>
      <c r="M239" s="7">
        <f>IF(OR(G239="",H239="",I239="",F239=""),"",IF(F239="Long",(H239-G239)*I239,(G239-H239)*I239))</f>
        <v/>
      </c>
      <c r="N239" s="6">
        <f>IF(OR(M239="",L239="",L239=0),"",M239/L239)</f>
        <v/>
      </c>
      <c r="O239">
        <f>IF(M239="","",IF(M239&gt;0,"Win",IF(M239&lt;0,"Loss","Scratch")))</f>
        <v/>
      </c>
    </row>
    <row r="240">
      <c r="A240" s="5" t="n"/>
      <c r="G240" s="6" t="n"/>
      <c r="H240" s="6" t="n"/>
      <c r="J240" s="6" t="n"/>
      <c r="K240" s="6" t="n"/>
      <c r="L240" s="7">
        <f>IF(OR(G240="",J240="",I240=""),"",ABS(G240-J240)*I240)</f>
        <v/>
      </c>
      <c r="M240" s="7">
        <f>IF(OR(G240="",H240="",I240="",F240=""),"",IF(F240="Long",(H240-G240)*I240,(G240-H240)*I240))</f>
        <v/>
      </c>
      <c r="N240" s="6">
        <f>IF(OR(M240="",L240="",L240=0),"",M240/L240)</f>
        <v/>
      </c>
      <c r="O240">
        <f>IF(M240="","",IF(M240&gt;0,"Win",IF(M240&lt;0,"Loss","Scratch")))</f>
        <v/>
      </c>
    </row>
    <row r="241">
      <c r="A241" s="5" t="n"/>
      <c r="G241" s="6" t="n"/>
      <c r="H241" s="6" t="n"/>
      <c r="J241" s="6" t="n"/>
      <c r="K241" s="6" t="n"/>
      <c r="L241" s="7">
        <f>IF(OR(G241="",J241="",I241=""),"",ABS(G241-J241)*I241)</f>
        <v/>
      </c>
      <c r="M241" s="7">
        <f>IF(OR(G241="",H241="",I241="",F241=""),"",IF(F241="Long",(H241-G241)*I241,(G241-H241)*I241))</f>
        <v/>
      </c>
      <c r="N241" s="6">
        <f>IF(OR(M241="",L241="",L241=0),"",M241/L241)</f>
        <v/>
      </c>
      <c r="O241">
        <f>IF(M241="","",IF(M241&gt;0,"Win",IF(M241&lt;0,"Loss","Scratch")))</f>
        <v/>
      </c>
    </row>
    <row r="242">
      <c r="A242" s="5" t="n"/>
      <c r="G242" s="6" t="n"/>
      <c r="H242" s="6" t="n"/>
      <c r="J242" s="6" t="n"/>
      <c r="K242" s="6" t="n"/>
      <c r="L242" s="7">
        <f>IF(OR(G242="",J242="",I242=""),"",ABS(G242-J242)*I242)</f>
        <v/>
      </c>
      <c r="M242" s="7">
        <f>IF(OR(G242="",H242="",I242="",F242=""),"",IF(F242="Long",(H242-G242)*I242,(G242-H242)*I242))</f>
        <v/>
      </c>
      <c r="N242" s="6">
        <f>IF(OR(M242="",L242="",L242=0),"",M242/L242)</f>
        <v/>
      </c>
      <c r="O242">
        <f>IF(M242="","",IF(M242&gt;0,"Win",IF(M242&lt;0,"Loss","Scratch")))</f>
        <v/>
      </c>
    </row>
    <row r="243">
      <c r="A243" s="5" t="n"/>
      <c r="G243" s="6" t="n"/>
      <c r="H243" s="6" t="n"/>
      <c r="J243" s="6" t="n"/>
      <c r="K243" s="6" t="n"/>
      <c r="L243" s="7">
        <f>IF(OR(G243="",J243="",I243=""),"",ABS(G243-J243)*I243)</f>
        <v/>
      </c>
      <c r="M243" s="7">
        <f>IF(OR(G243="",H243="",I243="",F243=""),"",IF(F243="Long",(H243-G243)*I243,(G243-H243)*I243))</f>
        <v/>
      </c>
      <c r="N243" s="6">
        <f>IF(OR(M243="",L243="",L243=0),"",M243/L243)</f>
        <v/>
      </c>
      <c r="O243">
        <f>IF(M243="","",IF(M243&gt;0,"Win",IF(M243&lt;0,"Loss","Scratch")))</f>
        <v/>
      </c>
    </row>
    <row r="244">
      <c r="A244" s="5" t="n"/>
      <c r="G244" s="6" t="n"/>
      <c r="H244" s="6" t="n"/>
      <c r="J244" s="6" t="n"/>
      <c r="K244" s="6" t="n"/>
      <c r="L244" s="7">
        <f>IF(OR(G244="",J244="",I244=""),"",ABS(G244-J244)*I244)</f>
        <v/>
      </c>
      <c r="M244" s="7">
        <f>IF(OR(G244="",H244="",I244="",F244=""),"",IF(F244="Long",(H244-G244)*I244,(G244-H244)*I244))</f>
        <v/>
      </c>
      <c r="N244" s="6">
        <f>IF(OR(M244="",L244="",L244=0),"",M244/L244)</f>
        <v/>
      </c>
      <c r="O244">
        <f>IF(M244="","",IF(M244&gt;0,"Win",IF(M244&lt;0,"Loss","Scratch")))</f>
        <v/>
      </c>
    </row>
    <row r="245">
      <c r="A245" s="5" t="n"/>
      <c r="G245" s="6" t="n"/>
      <c r="H245" s="6" t="n"/>
      <c r="J245" s="6" t="n"/>
      <c r="K245" s="6" t="n"/>
      <c r="L245" s="7">
        <f>IF(OR(G245="",J245="",I245=""),"",ABS(G245-J245)*I245)</f>
        <v/>
      </c>
      <c r="M245" s="7">
        <f>IF(OR(G245="",H245="",I245="",F245=""),"",IF(F245="Long",(H245-G245)*I245,(G245-H245)*I245))</f>
        <v/>
      </c>
      <c r="N245" s="6">
        <f>IF(OR(M245="",L245="",L245=0),"",M245/L245)</f>
        <v/>
      </c>
      <c r="O245">
        <f>IF(M245="","",IF(M245&gt;0,"Win",IF(M245&lt;0,"Loss","Scratch")))</f>
        <v/>
      </c>
    </row>
    <row r="246">
      <c r="A246" s="5" t="n"/>
      <c r="G246" s="6" t="n"/>
      <c r="H246" s="6" t="n"/>
      <c r="J246" s="6" t="n"/>
      <c r="K246" s="6" t="n"/>
      <c r="L246" s="7">
        <f>IF(OR(G246="",J246="",I246=""),"",ABS(G246-J246)*I246)</f>
        <v/>
      </c>
      <c r="M246" s="7">
        <f>IF(OR(G246="",H246="",I246="",F246=""),"",IF(F246="Long",(H246-G246)*I246,(G246-H246)*I246))</f>
        <v/>
      </c>
      <c r="N246" s="6">
        <f>IF(OR(M246="",L246="",L246=0),"",M246/L246)</f>
        <v/>
      </c>
      <c r="O246">
        <f>IF(M246="","",IF(M246&gt;0,"Win",IF(M246&lt;0,"Loss","Scratch")))</f>
        <v/>
      </c>
    </row>
    <row r="247">
      <c r="A247" s="5" t="n"/>
      <c r="G247" s="6" t="n"/>
      <c r="H247" s="6" t="n"/>
      <c r="J247" s="6" t="n"/>
      <c r="K247" s="6" t="n"/>
      <c r="L247" s="7">
        <f>IF(OR(G247="",J247="",I247=""),"",ABS(G247-J247)*I247)</f>
        <v/>
      </c>
      <c r="M247" s="7">
        <f>IF(OR(G247="",H247="",I247="",F247=""),"",IF(F247="Long",(H247-G247)*I247,(G247-H247)*I247))</f>
        <v/>
      </c>
      <c r="N247" s="6">
        <f>IF(OR(M247="",L247="",L247=0),"",M247/L247)</f>
        <v/>
      </c>
      <c r="O247">
        <f>IF(M247="","",IF(M247&gt;0,"Win",IF(M247&lt;0,"Loss","Scratch")))</f>
        <v/>
      </c>
    </row>
    <row r="248">
      <c r="A248" s="5" t="n"/>
      <c r="G248" s="6" t="n"/>
      <c r="H248" s="6" t="n"/>
      <c r="J248" s="6" t="n"/>
      <c r="K248" s="6" t="n"/>
      <c r="L248" s="7">
        <f>IF(OR(G248="",J248="",I248=""),"",ABS(G248-J248)*I248)</f>
        <v/>
      </c>
      <c r="M248" s="7">
        <f>IF(OR(G248="",H248="",I248="",F248=""),"",IF(F248="Long",(H248-G248)*I248,(G248-H248)*I248))</f>
        <v/>
      </c>
      <c r="N248" s="6">
        <f>IF(OR(M248="",L248="",L248=0),"",M248/L248)</f>
        <v/>
      </c>
      <c r="O248">
        <f>IF(M248="","",IF(M248&gt;0,"Win",IF(M248&lt;0,"Loss","Scratch")))</f>
        <v/>
      </c>
    </row>
    <row r="249">
      <c r="A249" s="5" t="n"/>
      <c r="G249" s="6" t="n"/>
      <c r="H249" s="6" t="n"/>
      <c r="J249" s="6" t="n"/>
      <c r="K249" s="6" t="n"/>
      <c r="L249" s="7">
        <f>IF(OR(G249="",J249="",I249=""),"",ABS(G249-J249)*I249)</f>
        <v/>
      </c>
      <c r="M249" s="7">
        <f>IF(OR(G249="",H249="",I249="",F249=""),"",IF(F249="Long",(H249-G249)*I249,(G249-H249)*I249))</f>
        <v/>
      </c>
      <c r="N249" s="6">
        <f>IF(OR(M249="",L249="",L249=0),"",M249/L249)</f>
        <v/>
      </c>
      <c r="O249">
        <f>IF(M249="","",IF(M249&gt;0,"Win",IF(M249&lt;0,"Loss","Scratch")))</f>
        <v/>
      </c>
    </row>
    <row r="250">
      <c r="A250" s="5" t="n"/>
      <c r="G250" s="6" t="n"/>
      <c r="H250" s="6" t="n"/>
      <c r="J250" s="6" t="n"/>
      <c r="K250" s="6" t="n"/>
      <c r="L250" s="7">
        <f>IF(OR(G250="",J250="",I250=""),"",ABS(G250-J250)*I250)</f>
        <v/>
      </c>
      <c r="M250" s="7">
        <f>IF(OR(G250="",H250="",I250="",F250=""),"",IF(F250="Long",(H250-G250)*I250,(G250-H250)*I250))</f>
        <v/>
      </c>
      <c r="N250" s="6">
        <f>IF(OR(M250="",L250="",L250=0),"",M250/L250)</f>
        <v/>
      </c>
      <c r="O250">
        <f>IF(M250="","",IF(M250&gt;0,"Win",IF(M250&lt;0,"Loss","Scratch")))</f>
        <v/>
      </c>
    </row>
    <row r="251">
      <c r="A251" s="5" t="n"/>
      <c r="G251" s="6" t="n"/>
      <c r="H251" s="6" t="n"/>
      <c r="J251" s="6" t="n"/>
      <c r="K251" s="6" t="n"/>
      <c r="L251" s="7">
        <f>IF(OR(G251="",J251="",I251=""),"",ABS(G251-J251)*I251)</f>
        <v/>
      </c>
      <c r="M251" s="7">
        <f>IF(OR(G251="",H251="",I251="",F251=""),"",IF(F251="Long",(H251-G251)*I251,(G251-H251)*I251))</f>
        <v/>
      </c>
      <c r="N251" s="6">
        <f>IF(OR(M251="",L251="",L251=0),"",M251/L251)</f>
        <v/>
      </c>
      <c r="O251">
        <f>IF(M251="","",IF(M251&gt;0,"Win",IF(M251&lt;0,"Loss","Scratch")))</f>
        <v/>
      </c>
    </row>
    <row r="252">
      <c r="A252" s="5" t="n"/>
      <c r="G252" s="6" t="n"/>
      <c r="H252" s="6" t="n"/>
      <c r="J252" s="6" t="n"/>
      <c r="K252" s="6" t="n"/>
      <c r="L252" s="7">
        <f>IF(OR(G252="",J252="",I252=""),"",ABS(G252-J252)*I252)</f>
        <v/>
      </c>
      <c r="M252" s="7">
        <f>IF(OR(G252="",H252="",I252="",F252=""),"",IF(F252="Long",(H252-G252)*I252,(G252-H252)*I252))</f>
        <v/>
      </c>
      <c r="N252" s="6">
        <f>IF(OR(M252="",L252="",L252=0),"",M252/L252)</f>
        <v/>
      </c>
      <c r="O252">
        <f>IF(M252="","",IF(M252&gt;0,"Win",IF(M252&lt;0,"Loss","Scratch")))</f>
        <v/>
      </c>
    </row>
    <row r="253">
      <c r="A253" s="5" t="n"/>
      <c r="G253" s="6" t="n"/>
      <c r="H253" s="6" t="n"/>
      <c r="J253" s="6" t="n"/>
      <c r="K253" s="6" t="n"/>
      <c r="L253" s="7">
        <f>IF(OR(G253="",J253="",I253=""),"",ABS(G253-J253)*I253)</f>
        <v/>
      </c>
      <c r="M253" s="7">
        <f>IF(OR(G253="",H253="",I253="",F253=""),"",IF(F253="Long",(H253-G253)*I253,(G253-H253)*I253))</f>
        <v/>
      </c>
      <c r="N253" s="6">
        <f>IF(OR(M253="",L253="",L253=0),"",M253/L253)</f>
        <v/>
      </c>
      <c r="O253">
        <f>IF(M253="","",IF(M253&gt;0,"Win",IF(M253&lt;0,"Loss","Scratch")))</f>
        <v/>
      </c>
    </row>
    <row r="254">
      <c r="A254" s="5" t="n"/>
      <c r="G254" s="6" t="n"/>
      <c r="H254" s="6" t="n"/>
      <c r="J254" s="6" t="n"/>
      <c r="K254" s="6" t="n"/>
      <c r="L254" s="7">
        <f>IF(OR(G254="",J254="",I254=""),"",ABS(G254-J254)*I254)</f>
        <v/>
      </c>
      <c r="M254" s="7">
        <f>IF(OR(G254="",H254="",I254="",F254=""),"",IF(F254="Long",(H254-G254)*I254,(G254-H254)*I254))</f>
        <v/>
      </c>
      <c r="N254" s="6">
        <f>IF(OR(M254="",L254="",L254=0),"",M254/L254)</f>
        <v/>
      </c>
      <c r="O254">
        <f>IF(M254="","",IF(M254&gt;0,"Win",IF(M254&lt;0,"Loss","Scratch")))</f>
        <v/>
      </c>
    </row>
    <row r="255">
      <c r="A255" s="5" t="n"/>
      <c r="G255" s="6" t="n"/>
      <c r="H255" s="6" t="n"/>
      <c r="J255" s="6" t="n"/>
      <c r="K255" s="6" t="n"/>
      <c r="L255" s="7">
        <f>IF(OR(G255="",J255="",I255=""),"",ABS(G255-J255)*I255)</f>
        <v/>
      </c>
      <c r="M255" s="7">
        <f>IF(OR(G255="",H255="",I255="",F255=""),"",IF(F255="Long",(H255-G255)*I255,(G255-H255)*I255))</f>
        <v/>
      </c>
      <c r="N255" s="6">
        <f>IF(OR(M255="",L255="",L255=0),"",M255/L255)</f>
        <v/>
      </c>
      <c r="O255">
        <f>IF(M255="","",IF(M255&gt;0,"Win",IF(M255&lt;0,"Loss","Scratch")))</f>
        <v/>
      </c>
    </row>
    <row r="256">
      <c r="A256" s="5" t="n"/>
      <c r="G256" s="6" t="n"/>
      <c r="H256" s="6" t="n"/>
      <c r="J256" s="6" t="n"/>
      <c r="K256" s="6" t="n"/>
      <c r="L256" s="7">
        <f>IF(OR(G256="",J256="",I256=""),"",ABS(G256-J256)*I256)</f>
        <v/>
      </c>
      <c r="M256" s="7">
        <f>IF(OR(G256="",H256="",I256="",F256=""),"",IF(F256="Long",(H256-G256)*I256,(G256-H256)*I256))</f>
        <v/>
      </c>
      <c r="N256" s="6">
        <f>IF(OR(M256="",L256="",L256=0),"",M256/L256)</f>
        <v/>
      </c>
      <c r="O256">
        <f>IF(M256="","",IF(M256&gt;0,"Win",IF(M256&lt;0,"Loss","Scratch")))</f>
        <v/>
      </c>
    </row>
    <row r="257">
      <c r="A257" s="5" t="n"/>
      <c r="G257" s="6" t="n"/>
      <c r="H257" s="6" t="n"/>
      <c r="J257" s="6" t="n"/>
      <c r="K257" s="6" t="n"/>
      <c r="L257" s="7">
        <f>IF(OR(G257="",J257="",I257=""),"",ABS(G257-J257)*I257)</f>
        <v/>
      </c>
      <c r="M257" s="7">
        <f>IF(OR(G257="",H257="",I257="",F257=""),"",IF(F257="Long",(H257-G257)*I257,(G257-H257)*I257))</f>
        <v/>
      </c>
      <c r="N257" s="6">
        <f>IF(OR(M257="",L257="",L257=0),"",M257/L257)</f>
        <v/>
      </c>
      <c r="O257">
        <f>IF(M257="","",IF(M257&gt;0,"Win",IF(M257&lt;0,"Loss","Scratch")))</f>
        <v/>
      </c>
    </row>
    <row r="258">
      <c r="A258" s="5" t="n"/>
      <c r="G258" s="6" t="n"/>
      <c r="H258" s="6" t="n"/>
      <c r="J258" s="6" t="n"/>
      <c r="K258" s="6" t="n"/>
      <c r="L258" s="7">
        <f>IF(OR(G258="",J258="",I258=""),"",ABS(G258-J258)*I258)</f>
        <v/>
      </c>
      <c r="M258" s="7">
        <f>IF(OR(G258="",H258="",I258="",F258=""),"",IF(F258="Long",(H258-G258)*I258,(G258-H258)*I258))</f>
        <v/>
      </c>
      <c r="N258" s="6">
        <f>IF(OR(M258="",L258="",L258=0),"",M258/L258)</f>
        <v/>
      </c>
      <c r="O258">
        <f>IF(M258="","",IF(M258&gt;0,"Win",IF(M258&lt;0,"Loss","Scratch")))</f>
        <v/>
      </c>
    </row>
    <row r="259">
      <c r="A259" s="5" t="n"/>
      <c r="G259" s="6" t="n"/>
      <c r="H259" s="6" t="n"/>
      <c r="J259" s="6" t="n"/>
      <c r="K259" s="6" t="n"/>
      <c r="L259" s="7">
        <f>IF(OR(G259="",J259="",I259=""),"",ABS(G259-J259)*I259)</f>
        <v/>
      </c>
      <c r="M259" s="7">
        <f>IF(OR(G259="",H259="",I259="",F259=""),"",IF(F259="Long",(H259-G259)*I259,(G259-H259)*I259))</f>
        <v/>
      </c>
      <c r="N259" s="6">
        <f>IF(OR(M259="",L259="",L259=0),"",M259/L259)</f>
        <v/>
      </c>
      <c r="O259">
        <f>IF(M259="","",IF(M259&gt;0,"Win",IF(M259&lt;0,"Loss","Scratch")))</f>
        <v/>
      </c>
    </row>
    <row r="260">
      <c r="A260" s="5" t="n"/>
      <c r="G260" s="6" t="n"/>
      <c r="H260" s="6" t="n"/>
      <c r="J260" s="6" t="n"/>
      <c r="K260" s="6" t="n"/>
      <c r="L260" s="7">
        <f>IF(OR(G260="",J260="",I260=""),"",ABS(G260-J260)*I260)</f>
        <v/>
      </c>
      <c r="M260" s="7">
        <f>IF(OR(G260="",H260="",I260="",F260=""),"",IF(F260="Long",(H260-G260)*I260,(G260-H260)*I260))</f>
        <v/>
      </c>
      <c r="N260" s="6">
        <f>IF(OR(M260="",L260="",L260=0),"",M260/L260)</f>
        <v/>
      </c>
      <c r="O260">
        <f>IF(M260="","",IF(M260&gt;0,"Win",IF(M260&lt;0,"Loss","Scratch")))</f>
        <v/>
      </c>
    </row>
    <row r="261">
      <c r="A261" s="5" t="n"/>
      <c r="G261" s="6" t="n"/>
      <c r="H261" s="6" t="n"/>
      <c r="J261" s="6" t="n"/>
      <c r="K261" s="6" t="n"/>
      <c r="L261" s="7">
        <f>IF(OR(G261="",J261="",I261=""),"",ABS(G261-J261)*I261)</f>
        <v/>
      </c>
      <c r="M261" s="7">
        <f>IF(OR(G261="",H261="",I261="",F261=""),"",IF(F261="Long",(H261-G261)*I261,(G261-H261)*I261))</f>
        <v/>
      </c>
      <c r="N261" s="6">
        <f>IF(OR(M261="",L261="",L261=0),"",M261/L261)</f>
        <v/>
      </c>
      <c r="O261">
        <f>IF(M261="","",IF(M261&gt;0,"Win",IF(M261&lt;0,"Loss","Scratch")))</f>
        <v/>
      </c>
    </row>
    <row r="262">
      <c r="A262" s="5" t="n"/>
      <c r="G262" s="6" t="n"/>
      <c r="H262" s="6" t="n"/>
      <c r="J262" s="6" t="n"/>
      <c r="K262" s="6" t="n"/>
      <c r="L262" s="7">
        <f>IF(OR(G262="",J262="",I262=""),"",ABS(G262-J262)*I262)</f>
        <v/>
      </c>
      <c r="M262" s="7">
        <f>IF(OR(G262="",H262="",I262="",F262=""),"",IF(F262="Long",(H262-G262)*I262,(G262-H262)*I262))</f>
        <v/>
      </c>
      <c r="N262" s="6">
        <f>IF(OR(M262="",L262="",L262=0),"",M262/L262)</f>
        <v/>
      </c>
      <c r="O262">
        <f>IF(M262="","",IF(M262&gt;0,"Win",IF(M262&lt;0,"Loss","Scratch")))</f>
        <v/>
      </c>
    </row>
    <row r="263">
      <c r="A263" s="5" t="n"/>
      <c r="G263" s="6" t="n"/>
      <c r="H263" s="6" t="n"/>
      <c r="J263" s="6" t="n"/>
      <c r="K263" s="6" t="n"/>
      <c r="L263" s="7">
        <f>IF(OR(G263="",J263="",I263=""),"",ABS(G263-J263)*I263)</f>
        <v/>
      </c>
      <c r="M263" s="7">
        <f>IF(OR(G263="",H263="",I263="",F263=""),"",IF(F263="Long",(H263-G263)*I263,(G263-H263)*I263))</f>
        <v/>
      </c>
      <c r="N263" s="6">
        <f>IF(OR(M263="",L263="",L263=0),"",M263/L263)</f>
        <v/>
      </c>
      <c r="O263">
        <f>IF(M263="","",IF(M263&gt;0,"Win",IF(M263&lt;0,"Loss","Scratch")))</f>
        <v/>
      </c>
    </row>
    <row r="264">
      <c r="A264" s="5" t="n"/>
      <c r="G264" s="6" t="n"/>
      <c r="H264" s="6" t="n"/>
      <c r="J264" s="6" t="n"/>
      <c r="K264" s="6" t="n"/>
      <c r="L264" s="7">
        <f>IF(OR(G264="",J264="",I264=""),"",ABS(G264-J264)*I264)</f>
        <v/>
      </c>
      <c r="M264" s="7">
        <f>IF(OR(G264="",H264="",I264="",F264=""),"",IF(F264="Long",(H264-G264)*I264,(G264-H264)*I264))</f>
        <v/>
      </c>
      <c r="N264" s="6">
        <f>IF(OR(M264="",L264="",L264=0),"",M264/L264)</f>
        <v/>
      </c>
      <c r="O264">
        <f>IF(M264="","",IF(M264&gt;0,"Win",IF(M264&lt;0,"Loss","Scratch")))</f>
        <v/>
      </c>
    </row>
    <row r="265">
      <c r="A265" s="5" t="n"/>
      <c r="G265" s="6" t="n"/>
      <c r="H265" s="6" t="n"/>
      <c r="J265" s="6" t="n"/>
      <c r="K265" s="6" t="n"/>
      <c r="L265" s="7">
        <f>IF(OR(G265="",J265="",I265=""),"",ABS(G265-J265)*I265)</f>
        <v/>
      </c>
      <c r="M265" s="7">
        <f>IF(OR(G265="",H265="",I265="",F265=""),"",IF(F265="Long",(H265-G265)*I265,(G265-H265)*I265))</f>
        <v/>
      </c>
      <c r="N265" s="6">
        <f>IF(OR(M265="",L265="",L265=0),"",M265/L265)</f>
        <v/>
      </c>
      <c r="O265">
        <f>IF(M265="","",IF(M265&gt;0,"Win",IF(M265&lt;0,"Loss","Scratch")))</f>
        <v/>
      </c>
    </row>
    <row r="266">
      <c r="A266" s="5" t="n"/>
      <c r="G266" s="6" t="n"/>
      <c r="H266" s="6" t="n"/>
      <c r="J266" s="6" t="n"/>
      <c r="K266" s="6" t="n"/>
      <c r="L266" s="7">
        <f>IF(OR(G266="",J266="",I266=""),"",ABS(G266-J266)*I266)</f>
        <v/>
      </c>
      <c r="M266" s="7">
        <f>IF(OR(G266="",H266="",I266="",F266=""),"",IF(F266="Long",(H266-G266)*I266,(G266-H266)*I266))</f>
        <v/>
      </c>
      <c r="N266" s="6">
        <f>IF(OR(M266="",L266="",L266=0),"",M266/L266)</f>
        <v/>
      </c>
      <c r="O266">
        <f>IF(M266="","",IF(M266&gt;0,"Win",IF(M266&lt;0,"Loss","Scratch")))</f>
        <v/>
      </c>
    </row>
    <row r="267">
      <c r="A267" s="5" t="n"/>
      <c r="G267" s="6" t="n"/>
      <c r="H267" s="6" t="n"/>
      <c r="J267" s="6" t="n"/>
      <c r="K267" s="6" t="n"/>
      <c r="L267" s="7">
        <f>IF(OR(G267="",J267="",I267=""),"",ABS(G267-J267)*I267)</f>
        <v/>
      </c>
      <c r="M267" s="7">
        <f>IF(OR(G267="",H267="",I267="",F267=""),"",IF(F267="Long",(H267-G267)*I267,(G267-H267)*I267))</f>
        <v/>
      </c>
      <c r="N267" s="6">
        <f>IF(OR(M267="",L267="",L267=0),"",M267/L267)</f>
        <v/>
      </c>
      <c r="O267">
        <f>IF(M267="","",IF(M267&gt;0,"Win",IF(M267&lt;0,"Loss","Scratch")))</f>
        <v/>
      </c>
    </row>
    <row r="268">
      <c r="A268" s="5" t="n"/>
      <c r="G268" s="6" t="n"/>
      <c r="H268" s="6" t="n"/>
      <c r="J268" s="6" t="n"/>
      <c r="K268" s="6" t="n"/>
      <c r="L268" s="7">
        <f>IF(OR(G268="",J268="",I268=""),"",ABS(G268-J268)*I268)</f>
        <v/>
      </c>
      <c r="M268" s="7">
        <f>IF(OR(G268="",H268="",I268="",F268=""),"",IF(F268="Long",(H268-G268)*I268,(G268-H268)*I268))</f>
        <v/>
      </c>
      <c r="N268" s="6">
        <f>IF(OR(M268="",L268="",L268=0),"",M268/L268)</f>
        <v/>
      </c>
      <c r="O268">
        <f>IF(M268="","",IF(M268&gt;0,"Win",IF(M268&lt;0,"Loss","Scratch")))</f>
        <v/>
      </c>
    </row>
    <row r="269">
      <c r="A269" s="5" t="n"/>
      <c r="G269" s="6" t="n"/>
      <c r="H269" s="6" t="n"/>
      <c r="J269" s="6" t="n"/>
      <c r="K269" s="6" t="n"/>
      <c r="L269" s="7">
        <f>IF(OR(G269="",J269="",I269=""),"",ABS(G269-J269)*I269)</f>
        <v/>
      </c>
      <c r="M269" s="7">
        <f>IF(OR(G269="",H269="",I269="",F269=""),"",IF(F269="Long",(H269-G269)*I269,(G269-H269)*I269))</f>
        <v/>
      </c>
      <c r="N269" s="6">
        <f>IF(OR(M269="",L269="",L269=0),"",M269/L269)</f>
        <v/>
      </c>
      <c r="O269">
        <f>IF(M269="","",IF(M269&gt;0,"Win",IF(M269&lt;0,"Loss","Scratch")))</f>
        <v/>
      </c>
    </row>
    <row r="270">
      <c r="A270" s="5" t="n"/>
      <c r="G270" s="6" t="n"/>
      <c r="H270" s="6" t="n"/>
      <c r="J270" s="6" t="n"/>
      <c r="K270" s="6" t="n"/>
      <c r="L270" s="7">
        <f>IF(OR(G270="",J270="",I270=""),"",ABS(G270-J270)*I270)</f>
        <v/>
      </c>
      <c r="M270" s="7">
        <f>IF(OR(G270="",H270="",I270="",F270=""),"",IF(F270="Long",(H270-G270)*I270,(G270-H270)*I270))</f>
        <v/>
      </c>
      <c r="N270" s="6">
        <f>IF(OR(M270="",L270="",L270=0),"",M270/L270)</f>
        <v/>
      </c>
      <c r="O270">
        <f>IF(M270="","",IF(M270&gt;0,"Win",IF(M270&lt;0,"Loss","Scratch")))</f>
        <v/>
      </c>
    </row>
    <row r="271">
      <c r="A271" s="5" t="n"/>
      <c r="G271" s="6" t="n"/>
      <c r="H271" s="6" t="n"/>
      <c r="J271" s="6" t="n"/>
      <c r="K271" s="6" t="n"/>
      <c r="L271" s="7">
        <f>IF(OR(G271="",J271="",I271=""),"",ABS(G271-J271)*I271)</f>
        <v/>
      </c>
      <c r="M271" s="7">
        <f>IF(OR(G271="",H271="",I271="",F271=""),"",IF(F271="Long",(H271-G271)*I271,(G271-H271)*I271))</f>
        <v/>
      </c>
      <c r="N271" s="6">
        <f>IF(OR(M271="",L271="",L271=0),"",M271/L271)</f>
        <v/>
      </c>
      <c r="O271">
        <f>IF(M271="","",IF(M271&gt;0,"Win",IF(M271&lt;0,"Loss","Scratch")))</f>
        <v/>
      </c>
    </row>
    <row r="272">
      <c r="A272" s="5" t="n"/>
      <c r="G272" s="6" t="n"/>
      <c r="H272" s="6" t="n"/>
      <c r="J272" s="6" t="n"/>
      <c r="K272" s="6" t="n"/>
      <c r="L272" s="7">
        <f>IF(OR(G272="",J272="",I272=""),"",ABS(G272-J272)*I272)</f>
        <v/>
      </c>
      <c r="M272" s="7">
        <f>IF(OR(G272="",H272="",I272="",F272=""),"",IF(F272="Long",(H272-G272)*I272,(G272-H272)*I272))</f>
        <v/>
      </c>
      <c r="N272" s="6">
        <f>IF(OR(M272="",L272="",L272=0),"",M272/L272)</f>
        <v/>
      </c>
      <c r="O272">
        <f>IF(M272="","",IF(M272&gt;0,"Win",IF(M272&lt;0,"Loss","Scratch")))</f>
        <v/>
      </c>
    </row>
    <row r="273">
      <c r="A273" s="5" t="n"/>
      <c r="G273" s="6" t="n"/>
      <c r="H273" s="6" t="n"/>
      <c r="J273" s="6" t="n"/>
      <c r="K273" s="6" t="n"/>
      <c r="L273" s="7">
        <f>IF(OR(G273="",J273="",I273=""),"",ABS(G273-J273)*I273)</f>
        <v/>
      </c>
      <c r="M273" s="7">
        <f>IF(OR(G273="",H273="",I273="",F273=""),"",IF(F273="Long",(H273-G273)*I273,(G273-H273)*I273))</f>
        <v/>
      </c>
      <c r="N273" s="6">
        <f>IF(OR(M273="",L273="",L273=0),"",M273/L273)</f>
        <v/>
      </c>
      <c r="O273">
        <f>IF(M273="","",IF(M273&gt;0,"Win",IF(M273&lt;0,"Loss","Scratch")))</f>
        <v/>
      </c>
    </row>
    <row r="274">
      <c r="A274" s="5" t="n"/>
      <c r="G274" s="6" t="n"/>
      <c r="H274" s="6" t="n"/>
      <c r="J274" s="6" t="n"/>
      <c r="K274" s="6" t="n"/>
      <c r="L274" s="7">
        <f>IF(OR(G274="",J274="",I274=""),"",ABS(G274-J274)*I274)</f>
        <v/>
      </c>
      <c r="M274" s="7">
        <f>IF(OR(G274="",H274="",I274="",F274=""),"",IF(F274="Long",(H274-G274)*I274,(G274-H274)*I274))</f>
        <v/>
      </c>
      <c r="N274" s="6">
        <f>IF(OR(M274="",L274="",L274=0),"",M274/L274)</f>
        <v/>
      </c>
      <c r="O274">
        <f>IF(M274="","",IF(M274&gt;0,"Win",IF(M274&lt;0,"Loss","Scratch")))</f>
        <v/>
      </c>
    </row>
    <row r="275">
      <c r="A275" s="5" t="n"/>
      <c r="G275" s="6" t="n"/>
      <c r="H275" s="6" t="n"/>
      <c r="J275" s="6" t="n"/>
      <c r="K275" s="6" t="n"/>
      <c r="L275" s="7">
        <f>IF(OR(G275="",J275="",I275=""),"",ABS(G275-J275)*I275)</f>
        <v/>
      </c>
      <c r="M275" s="7">
        <f>IF(OR(G275="",H275="",I275="",F275=""),"",IF(F275="Long",(H275-G275)*I275,(G275-H275)*I275))</f>
        <v/>
      </c>
      <c r="N275" s="6">
        <f>IF(OR(M275="",L275="",L275=0),"",M275/L275)</f>
        <v/>
      </c>
      <c r="O275">
        <f>IF(M275="","",IF(M275&gt;0,"Win",IF(M275&lt;0,"Loss","Scratch")))</f>
        <v/>
      </c>
    </row>
    <row r="276">
      <c r="A276" s="5" t="n"/>
      <c r="G276" s="6" t="n"/>
      <c r="H276" s="6" t="n"/>
      <c r="J276" s="6" t="n"/>
      <c r="K276" s="6" t="n"/>
      <c r="L276" s="7">
        <f>IF(OR(G276="",J276="",I276=""),"",ABS(G276-J276)*I276)</f>
        <v/>
      </c>
      <c r="M276" s="7">
        <f>IF(OR(G276="",H276="",I276="",F276=""),"",IF(F276="Long",(H276-G276)*I276,(G276-H276)*I276))</f>
        <v/>
      </c>
      <c r="N276" s="6">
        <f>IF(OR(M276="",L276="",L276=0),"",M276/L276)</f>
        <v/>
      </c>
      <c r="O276">
        <f>IF(M276="","",IF(M276&gt;0,"Win",IF(M276&lt;0,"Loss","Scratch")))</f>
        <v/>
      </c>
    </row>
    <row r="277">
      <c r="A277" s="5" t="n"/>
      <c r="G277" s="6" t="n"/>
      <c r="H277" s="6" t="n"/>
      <c r="J277" s="6" t="n"/>
      <c r="K277" s="6" t="n"/>
      <c r="L277" s="7">
        <f>IF(OR(G277="",J277="",I277=""),"",ABS(G277-J277)*I277)</f>
        <v/>
      </c>
      <c r="M277" s="7">
        <f>IF(OR(G277="",H277="",I277="",F277=""),"",IF(F277="Long",(H277-G277)*I277,(G277-H277)*I277))</f>
        <v/>
      </c>
      <c r="N277" s="6">
        <f>IF(OR(M277="",L277="",L277=0),"",M277/L277)</f>
        <v/>
      </c>
      <c r="O277">
        <f>IF(M277="","",IF(M277&gt;0,"Win",IF(M277&lt;0,"Loss","Scratch")))</f>
        <v/>
      </c>
    </row>
    <row r="278">
      <c r="A278" s="5" t="n"/>
      <c r="G278" s="6" t="n"/>
      <c r="H278" s="6" t="n"/>
      <c r="J278" s="6" t="n"/>
      <c r="K278" s="6" t="n"/>
      <c r="L278" s="7">
        <f>IF(OR(G278="",J278="",I278=""),"",ABS(G278-J278)*I278)</f>
        <v/>
      </c>
      <c r="M278" s="7">
        <f>IF(OR(G278="",H278="",I278="",F278=""),"",IF(F278="Long",(H278-G278)*I278,(G278-H278)*I278))</f>
        <v/>
      </c>
      <c r="N278" s="6">
        <f>IF(OR(M278="",L278="",L278=0),"",M278/L278)</f>
        <v/>
      </c>
      <c r="O278">
        <f>IF(M278="","",IF(M278&gt;0,"Win",IF(M278&lt;0,"Loss","Scratch")))</f>
        <v/>
      </c>
    </row>
    <row r="279">
      <c r="A279" s="5" t="n"/>
      <c r="G279" s="6" t="n"/>
      <c r="H279" s="6" t="n"/>
      <c r="J279" s="6" t="n"/>
      <c r="K279" s="6" t="n"/>
      <c r="L279" s="7">
        <f>IF(OR(G279="",J279="",I279=""),"",ABS(G279-J279)*I279)</f>
        <v/>
      </c>
      <c r="M279" s="7">
        <f>IF(OR(G279="",H279="",I279="",F279=""),"",IF(F279="Long",(H279-G279)*I279,(G279-H279)*I279))</f>
        <v/>
      </c>
      <c r="N279" s="6">
        <f>IF(OR(M279="",L279="",L279=0),"",M279/L279)</f>
        <v/>
      </c>
      <c r="O279">
        <f>IF(M279="","",IF(M279&gt;0,"Win",IF(M279&lt;0,"Loss","Scratch")))</f>
        <v/>
      </c>
    </row>
    <row r="280">
      <c r="A280" s="5" t="n"/>
      <c r="G280" s="6" t="n"/>
      <c r="H280" s="6" t="n"/>
      <c r="J280" s="6" t="n"/>
      <c r="K280" s="6" t="n"/>
      <c r="L280" s="7">
        <f>IF(OR(G280="",J280="",I280=""),"",ABS(G280-J280)*I280)</f>
        <v/>
      </c>
      <c r="M280" s="7">
        <f>IF(OR(G280="",H280="",I280="",F280=""),"",IF(F280="Long",(H280-G280)*I280,(G280-H280)*I280))</f>
        <v/>
      </c>
      <c r="N280" s="6">
        <f>IF(OR(M280="",L280="",L280=0),"",M280/L280)</f>
        <v/>
      </c>
      <c r="O280">
        <f>IF(M280="","",IF(M280&gt;0,"Win",IF(M280&lt;0,"Loss","Scratch")))</f>
        <v/>
      </c>
    </row>
    <row r="281">
      <c r="A281" s="5" t="n"/>
      <c r="G281" s="6" t="n"/>
      <c r="H281" s="6" t="n"/>
      <c r="J281" s="6" t="n"/>
      <c r="K281" s="6" t="n"/>
      <c r="L281" s="7">
        <f>IF(OR(G281="",J281="",I281=""),"",ABS(G281-J281)*I281)</f>
        <v/>
      </c>
      <c r="M281" s="7">
        <f>IF(OR(G281="",H281="",I281="",F281=""),"",IF(F281="Long",(H281-G281)*I281,(G281-H281)*I281))</f>
        <v/>
      </c>
      <c r="N281" s="6">
        <f>IF(OR(M281="",L281="",L281=0),"",M281/L281)</f>
        <v/>
      </c>
      <c r="O281">
        <f>IF(M281="","",IF(M281&gt;0,"Win",IF(M281&lt;0,"Loss","Scratch")))</f>
        <v/>
      </c>
    </row>
    <row r="282">
      <c r="A282" s="5" t="n"/>
      <c r="G282" s="6" t="n"/>
      <c r="H282" s="6" t="n"/>
      <c r="J282" s="6" t="n"/>
      <c r="K282" s="6" t="n"/>
      <c r="L282" s="7">
        <f>IF(OR(G282="",J282="",I282=""),"",ABS(G282-J282)*I282)</f>
        <v/>
      </c>
      <c r="M282" s="7">
        <f>IF(OR(G282="",H282="",I282="",F282=""),"",IF(F282="Long",(H282-G282)*I282,(G282-H282)*I282))</f>
        <v/>
      </c>
      <c r="N282" s="6">
        <f>IF(OR(M282="",L282="",L282=0),"",M282/L282)</f>
        <v/>
      </c>
      <c r="O282">
        <f>IF(M282="","",IF(M282&gt;0,"Win",IF(M282&lt;0,"Loss","Scratch")))</f>
        <v/>
      </c>
    </row>
    <row r="283">
      <c r="A283" s="5" t="n"/>
      <c r="G283" s="6" t="n"/>
      <c r="H283" s="6" t="n"/>
      <c r="J283" s="6" t="n"/>
      <c r="K283" s="6" t="n"/>
      <c r="L283" s="7">
        <f>IF(OR(G283="",J283="",I283=""),"",ABS(G283-J283)*I283)</f>
        <v/>
      </c>
      <c r="M283" s="7">
        <f>IF(OR(G283="",H283="",I283="",F283=""),"",IF(F283="Long",(H283-G283)*I283,(G283-H283)*I283))</f>
        <v/>
      </c>
      <c r="N283" s="6">
        <f>IF(OR(M283="",L283="",L283=0),"",M283/L283)</f>
        <v/>
      </c>
      <c r="O283">
        <f>IF(M283="","",IF(M283&gt;0,"Win",IF(M283&lt;0,"Loss","Scratch")))</f>
        <v/>
      </c>
    </row>
    <row r="284">
      <c r="A284" s="5" t="n"/>
      <c r="G284" s="6" t="n"/>
      <c r="H284" s="6" t="n"/>
      <c r="J284" s="6" t="n"/>
      <c r="K284" s="6" t="n"/>
      <c r="L284" s="7">
        <f>IF(OR(G284="",J284="",I284=""),"",ABS(G284-J284)*I284)</f>
        <v/>
      </c>
      <c r="M284" s="7">
        <f>IF(OR(G284="",H284="",I284="",F284=""),"",IF(F284="Long",(H284-G284)*I284,(G284-H284)*I284))</f>
        <v/>
      </c>
      <c r="N284" s="6">
        <f>IF(OR(M284="",L284="",L284=0),"",M284/L284)</f>
        <v/>
      </c>
      <c r="O284">
        <f>IF(M284="","",IF(M284&gt;0,"Win",IF(M284&lt;0,"Loss","Scratch")))</f>
        <v/>
      </c>
    </row>
    <row r="285">
      <c r="A285" s="5" t="n"/>
      <c r="G285" s="6" t="n"/>
      <c r="H285" s="6" t="n"/>
      <c r="J285" s="6" t="n"/>
      <c r="K285" s="6" t="n"/>
      <c r="L285" s="7">
        <f>IF(OR(G285="",J285="",I285=""),"",ABS(G285-J285)*I285)</f>
        <v/>
      </c>
      <c r="M285" s="7">
        <f>IF(OR(G285="",H285="",I285="",F285=""),"",IF(F285="Long",(H285-G285)*I285,(G285-H285)*I285))</f>
        <v/>
      </c>
      <c r="N285" s="6">
        <f>IF(OR(M285="",L285="",L285=0),"",M285/L285)</f>
        <v/>
      </c>
      <c r="O285">
        <f>IF(M285="","",IF(M285&gt;0,"Win",IF(M285&lt;0,"Loss","Scratch")))</f>
        <v/>
      </c>
    </row>
    <row r="286">
      <c r="A286" s="5" t="n"/>
      <c r="G286" s="6" t="n"/>
      <c r="H286" s="6" t="n"/>
      <c r="J286" s="6" t="n"/>
      <c r="K286" s="6" t="n"/>
      <c r="L286" s="7">
        <f>IF(OR(G286="",J286="",I286=""),"",ABS(G286-J286)*I286)</f>
        <v/>
      </c>
      <c r="M286" s="7">
        <f>IF(OR(G286="",H286="",I286="",F286=""),"",IF(F286="Long",(H286-G286)*I286,(G286-H286)*I286))</f>
        <v/>
      </c>
      <c r="N286" s="6">
        <f>IF(OR(M286="",L286="",L286=0),"",M286/L286)</f>
        <v/>
      </c>
      <c r="O286">
        <f>IF(M286="","",IF(M286&gt;0,"Win",IF(M286&lt;0,"Loss","Scratch")))</f>
        <v/>
      </c>
    </row>
    <row r="287">
      <c r="A287" s="5" t="n"/>
      <c r="G287" s="6" t="n"/>
      <c r="H287" s="6" t="n"/>
      <c r="J287" s="6" t="n"/>
      <c r="K287" s="6" t="n"/>
      <c r="L287" s="7">
        <f>IF(OR(G287="",J287="",I287=""),"",ABS(G287-J287)*I287)</f>
        <v/>
      </c>
      <c r="M287" s="7">
        <f>IF(OR(G287="",H287="",I287="",F287=""),"",IF(F287="Long",(H287-G287)*I287,(G287-H287)*I287))</f>
        <v/>
      </c>
      <c r="N287" s="6">
        <f>IF(OR(M287="",L287="",L287=0),"",M287/L287)</f>
        <v/>
      </c>
      <c r="O287">
        <f>IF(M287="","",IF(M287&gt;0,"Win",IF(M287&lt;0,"Loss","Scratch")))</f>
        <v/>
      </c>
    </row>
    <row r="288">
      <c r="A288" s="5" t="n"/>
      <c r="G288" s="6" t="n"/>
      <c r="H288" s="6" t="n"/>
      <c r="J288" s="6" t="n"/>
      <c r="K288" s="6" t="n"/>
      <c r="L288" s="7">
        <f>IF(OR(G288="",J288="",I288=""),"",ABS(G288-J288)*I288)</f>
        <v/>
      </c>
      <c r="M288" s="7">
        <f>IF(OR(G288="",H288="",I288="",F288=""),"",IF(F288="Long",(H288-G288)*I288,(G288-H288)*I288))</f>
        <v/>
      </c>
      <c r="N288" s="6">
        <f>IF(OR(M288="",L288="",L288=0),"",M288/L288)</f>
        <v/>
      </c>
      <c r="O288">
        <f>IF(M288="","",IF(M288&gt;0,"Win",IF(M288&lt;0,"Loss","Scratch")))</f>
        <v/>
      </c>
    </row>
    <row r="289">
      <c r="A289" s="5" t="n"/>
      <c r="G289" s="6" t="n"/>
      <c r="H289" s="6" t="n"/>
      <c r="J289" s="6" t="n"/>
      <c r="K289" s="6" t="n"/>
      <c r="L289" s="7">
        <f>IF(OR(G289="",J289="",I289=""),"",ABS(G289-J289)*I289)</f>
        <v/>
      </c>
      <c r="M289" s="7">
        <f>IF(OR(G289="",H289="",I289="",F289=""),"",IF(F289="Long",(H289-G289)*I289,(G289-H289)*I289))</f>
        <v/>
      </c>
      <c r="N289" s="6">
        <f>IF(OR(M289="",L289="",L289=0),"",M289/L289)</f>
        <v/>
      </c>
      <c r="O289">
        <f>IF(M289="","",IF(M289&gt;0,"Win",IF(M289&lt;0,"Loss","Scratch")))</f>
        <v/>
      </c>
    </row>
    <row r="290">
      <c r="A290" s="5" t="n"/>
      <c r="G290" s="6" t="n"/>
      <c r="H290" s="6" t="n"/>
      <c r="J290" s="6" t="n"/>
      <c r="K290" s="6" t="n"/>
      <c r="L290" s="7">
        <f>IF(OR(G290="",J290="",I290=""),"",ABS(G290-J290)*I290)</f>
        <v/>
      </c>
      <c r="M290" s="7">
        <f>IF(OR(G290="",H290="",I290="",F290=""),"",IF(F290="Long",(H290-G290)*I290,(G290-H290)*I290))</f>
        <v/>
      </c>
      <c r="N290" s="6">
        <f>IF(OR(M290="",L290="",L290=0),"",M290/L290)</f>
        <v/>
      </c>
      <c r="O290">
        <f>IF(M290="","",IF(M290&gt;0,"Win",IF(M290&lt;0,"Loss","Scratch")))</f>
        <v/>
      </c>
    </row>
    <row r="291">
      <c r="A291" s="5" t="n"/>
      <c r="G291" s="6" t="n"/>
      <c r="H291" s="6" t="n"/>
      <c r="J291" s="6" t="n"/>
      <c r="K291" s="6" t="n"/>
      <c r="L291" s="7">
        <f>IF(OR(G291="",J291="",I291=""),"",ABS(G291-J291)*I291)</f>
        <v/>
      </c>
      <c r="M291" s="7">
        <f>IF(OR(G291="",H291="",I291="",F291=""),"",IF(F291="Long",(H291-G291)*I291,(G291-H291)*I291))</f>
        <v/>
      </c>
      <c r="N291" s="6">
        <f>IF(OR(M291="",L291="",L291=0),"",M291/L291)</f>
        <v/>
      </c>
      <c r="O291">
        <f>IF(M291="","",IF(M291&gt;0,"Win",IF(M291&lt;0,"Loss","Scratch")))</f>
        <v/>
      </c>
    </row>
    <row r="292">
      <c r="A292" s="5" t="n"/>
      <c r="G292" s="6" t="n"/>
      <c r="H292" s="6" t="n"/>
      <c r="J292" s="6" t="n"/>
      <c r="K292" s="6" t="n"/>
      <c r="L292" s="7">
        <f>IF(OR(G292="",J292="",I292=""),"",ABS(G292-J292)*I292)</f>
        <v/>
      </c>
      <c r="M292" s="7">
        <f>IF(OR(G292="",H292="",I292="",F292=""),"",IF(F292="Long",(H292-G292)*I292,(G292-H292)*I292))</f>
        <v/>
      </c>
      <c r="N292" s="6">
        <f>IF(OR(M292="",L292="",L292=0),"",M292/L292)</f>
        <v/>
      </c>
      <c r="O292">
        <f>IF(M292="","",IF(M292&gt;0,"Win",IF(M292&lt;0,"Loss","Scratch")))</f>
        <v/>
      </c>
    </row>
    <row r="293">
      <c r="A293" s="5" t="n"/>
      <c r="G293" s="6" t="n"/>
      <c r="H293" s="6" t="n"/>
      <c r="J293" s="6" t="n"/>
      <c r="K293" s="6" t="n"/>
      <c r="L293" s="7">
        <f>IF(OR(G293="",J293="",I293=""),"",ABS(G293-J293)*I293)</f>
        <v/>
      </c>
      <c r="M293" s="7">
        <f>IF(OR(G293="",H293="",I293="",F293=""),"",IF(F293="Long",(H293-G293)*I293,(G293-H293)*I293))</f>
        <v/>
      </c>
      <c r="N293" s="6">
        <f>IF(OR(M293="",L293="",L293=0),"",M293/L293)</f>
        <v/>
      </c>
      <c r="O293">
        <f>IF(M293="","",IF(M293&gt;0,"Win",IF(M293&lt;0,"Loss","Scratch")))</f>
        <v/>
      </c>
    </row>
    <row r="294">
      <c r="A294" s="5" t="n"/>
      <c r="G294" s="6" t="n"/>
      <c r="H294" s="6" t="n"/>
      <c r="J294" s="6" t="n"/>
      <c r="K294" s="6" t="n"/>
      <c r="L294" s="7">
        <f>IF(OR(G294="",J294="",I294=""),"",ABS(G294-J294)*I294)</f>
        <v/>
      </c>
      <c r="M294" s="7">
        <f>IF(OR(G294="",H294="",I294="",F294=""),"",IF(F294="Long",(H294-G294)*I294,(G294-H294)*I294))</f>
        <v/>
      </c>
      <c r="N294" s="6">
        <f>IF(OR(M294="",L294="",L294=0),"",M294/L294)</f>
        <v/>
      </c>
      <c r="O294">
        <f>IF(M294="","",IF(M294&gt;0,"Win",IF(M294&lt;0,"Loss","Scratch")))</f>
        <v/>
      </c>
    </row>
    <row r="295">
      <c r="A295" s="5" t="n"/>
      <c r="G295" s="6" t="n"/>
      <c r="H295" s="6" t="n"/>
      <c r="J295" s="6" t="n"/>
      <c r="K295" s="6" t="n"/>
      <c r="L295" s="7">
        <f>IF(OR(G295="",J295="",I295=""),"",ABS(G295-J295)*I295)</f>
        <v/>
      </c>
      <c r="M295" s="7">
        <f>IF(OR(G295="",H295="",I295="",F295=""),"",IF(F295="Long",(H295-G295)*I295,(G295-H295)*I295))</f>
        <v/>
      </c>
      <c r="N295" s="6">
        <f>IF(OR(M295="",L295="",L295=0),"",M295/L295)</f>
        <v/>
      </c>
      <c r="O295">
        <f>IF(M295="","",IF(M295&gt;0,"Win",IF(M295&lt;0,"Loss","Scratch")))</f>
        <v/>
      </c>
    </row>
    <row r="296">
      <c r="A296" s="5" t="n"/>
      <c r="G296" s="6" t="n"/>
      <c r="H296" s="6" t="n"/>
      <c r="J296" s="6" t="n"/>
      <c r="K296" s="6" t="n"/>
      <c r="L296" s="7">
        <f>IF(OR(G296="",J296="",I296=""),"",ABS(G296-J296)*I296)</f>
        <v/>
      </c>
      <c r="M296" s="7">
        <f>IF(OR(G296="",H296="",I296="",F296=""),"",IF(F296="Long",(H296-G296)*I296,(G296-H296)*I296))</f>
        <v/>
      </c>
      <c r="N296" s="6">
        <f>IF(OR(M296="",L296="",L296=0),"",M296/L296)</f>
        <v/>
      </c>
      <c r="O296">
        <f>IF(M296="","",IF(M296&gt;0,"Win",IF(M296&lt;0,"Loss","Scratch")))</f>
        <v/>
      </c>
    </row>
    <row r="297">
      <c r="A297" s="5" t="n"/>
      <c r="G297" s="6" t="n"/>
      <c r="H297" s="6" t="n"/>
      <c r="J297" s="6" t="n"/>
      <c r="K297" s="6" t="n"/>
      <c r="L297" s="7">
        <f>IF(OR(G297="",J297="",I297=""),"",ABS(G297-J297)*I297)</f>
        <v/>
      </c>
      <c r="M297" s="7">
        <f>IF(OR(G297="",H297="",I297="",F297=""),"",IF(F297="Long",(H297-G297)*I297,(G297-H297)*I297))</f>
        <v/>
      </c>
      <c r="N297" s="6">
        <f>IF(OR(M297="",L297="",L297=0),"",M297/L297)</f>
        <v/>
      </c>
      <c r="O297">
        <f>IF(M297="","",IF(M297&gt;0,"Win",IF(M297&lt;0,"Loss","Scratch")))</f>
        <v/>
      </c>
    </row>
    <row r="298">
      <c r="A298" s="5" t="n"/>
      <c r="G298" s="6" t="n"/>
      <c r="H298" s="6" t="n"/>
      <c r="J298" s="6" t="n"/>
      <c r="K298" s="6" t="n"/>
      <c r="L298" s="7">
        <f>IF(OR(G298="",J298="",I298=""),"",ABS(G298-J298)*I298)</f>
        <v/>
      </c>
      <c r="M298" s="7">
        <f>IF(OR(G298="",H298="",I298="",F298=""),"",IF(F298="Long",(H298-G298)*I298,(G298-H298)*I298))</f>
        <v/>
      </c>
      <c r="N298" s="6">
        <f>IF(OR(M298="",L298="",L298=0),"",M298/L298)</f>
        <v/>
      </c>
      <c r="O298">
        <f>IF(M298="","",IF(M298&gt;0,"Win",IF(M298&lt;0,"Loss","Scratch")))</f>
        <v/>
      </c>
    </row>
    <row r="299">
      <c r="A299" s="5" t="n"/>
      <c r="G299" s="6" t="n"/>
      <c r="H299" s="6" t="n"/>
      <c r="J299" s="6" t="n"/>
      <c r="K299" s="6" t="n"/>
      <c r="L299" s="7">
        <f>IF(OR(G299="",J299="",I299=""),"",ABS(G299-J299)*I299)</f>
        <v/>
      </c>
      <c r="M299" s="7">
        <f>IF(OR(G299="",H299="",I299="",F299=""),"",IF(F299="Long",(H299-G299)*I299,(G299-H299)*I299))</f>
        <v/>
      </c>
      <c r="N299" s="6">
        <f>IF(OR(M299="",L299="",L299=0),"",M299/L299)</f>
        <v/>
      </c>
      <c r="O299">
        <f>IF(M299="","",IF(M299&gt;0,"Win",IF(M299&lt;0,"Loss","Scratch")))</f>
        <v/>
      </c>
    </row>
    <row r="300">
      <c r="A300" s="5" t="n"/>
      <c r="G300" s="6" t="n"/>
      <c r="H300" s="6" t="n"/>
      <c r="J300" s="6" t="n"/>
      <c r="K300" s="6" t="n"/>
      <c r="L300" s="7">
        <f>IF(OR(G300="",J300="",I300=""),"",ABS(G300-J300)*I300)</f>
        <v/>
      </c>
      <c r="M300" s="7">
        <f>IF(OR(G300="",H300="",I300="",F300=""),"",IF(F300="Long",(H300-G300)*I300,(G300-H300)*I300))</f>
        <v/>
      </c>
      <c r="N300" s="6">
        <f>IF(OR(M300="",L300="",L300=0),"",M300/L300)</f>
        <v/>
      </c>
      <c r="O300">
        <f>IF(M300="","",IF(M300&gt;0,"Win",IF(M300&lt;0,"Loss","Scratch")))</f>
        <v/>
      </c>
    </row>
    <row r="301">
      <c r="A301" s="5" t="n"/>
      <c r="G301" s="6" t="n"/>
      <c r="H301" s="6" t="n"/>
      <c r="J301" s="6" t="n"/>
      <c r="K301" s="6" t="n"/>
      <c r="L301" s="7">
        <f>IF(OR(G301="",J301="",I301=""),"",ABS(G301-J301)*I301)</f>
        <v/>
      </c>
      <c r="M301" s="7">
        <f>IF(OR(G301="",H301="",I301="",F301=""),"",IF(F301="Long",(H301-G301)*I301,(G301-H301)*I301))</f>
        <v/>
      </c>
      <c r="N301" s="6">
        <f>IF(OR(M301="",L301="",L301=0),"",M301/L301)</f>
        <v/>
      </c>
      <c r="O301">
        <f>IF(M301="","",IF(M301&gt;0,"Win",IF(M301&lt;0,"Loss","Scratch")))</f>
        <v/>
      </c>
    </row>
    <row r="302">
      <c r="A302" s="5" t="n"/>
      <c r="G302" s="6" t="n"/>
      <c r="H302" s="6" t="n"/>
      <c r="J302" s="6" t="n"/>
      <c r="K302" s="6" t="n"/>
      <c r="L302" s="7">
        <f>IF(OR(G302="",J302="",I302=""),"",ABS(G302-J302)*I302)</f>
        <v/>
      </c>
      <c r="M302" s="7">
        <f>IF(OR(G302="",H302="",I302="",F302=""),"",IF(F302="Long",(H302-G302)*I302,(G302-H302)*I302))</f>
        <v/>
      </c>
      <c r="N302" s="6">
        <f>IF(OR(M302="",L302="",L302=0),"",M302/L302)</f>
        <v/>
      </c>
      <c r="O302">
        <f>IF(M302="","",IF(M302&gt;0,"Win",IF(M302&lt;0,"Loss","Scratch")))</f>
        <v/>
      </c>
    </row>
    <row r="303">
      <c r="A303" s="5" t="n"/>
      <c r="G303" s="6" t="n"/>
      <c r="H303" s="6" t="n"/>
      <c r="J303" s="6" t="n"/>
      <c r="K303" s="6" t="n"/>
      <c r="L303" s="7">
        <f>IF(OR(G303="",J303="",I303=""),"",ABS(G303-J303)*I303)</f>
        <v/>
      </c>
      <c r="M303" s="7">
        <f>IF(OR(G303="",H303="",I303="",F303=""),"",IF(F303="Long",(H303-G303)*I303,(G303-H303)*I303))</f>
        <v/>
      </c>
      <c r="N303" s="6">
        <f>IF(OR(M303="",L303="",L303=0),"",M303/L303)</f>
        <v/>
      </c>
      <c r="O303">
        <f>IF(M303="","",IF(M303&gt;0,"Win",IF(M303&lt;0,"Loss","Scratch")))</f>
        <v/>
      </c>
    </row>
    <row r="304">
      <c r="A304" s="5" t="n"/>
      <c r="G304" s="6" t="n"/>
      <c r="H304" s="6" t="n"/>
      <c r="J304" s="6" t="n"/>
      <c r="K304" s="6" t="n"/>
      <c r="L304" s="7">
        <f>IF(OR(G304="",J304="",I304=""),"",ABS(G304-J304)*I304)</f>
        <v/>
      </c>
      <c r="M304" s="7">
        <f>IF(OR(G304="",H304="",I304="",F304=""),"",IF(F304="Long",(H304-G304)*I304,(G304-H304)*I304))</f>
        <v/>
      </c>
      <c r="N304" s="6">
        <f>IF(OR(M304="",L304="",L304=0),"",M304/L304)</f>
        <v/>
      </c>
      <c r="O304">
        <f>IF(M304="","",IF(M304&gt;0,"Win",IF(M304&lt;0,"Loss","Scratch")))</f>
        <v/>
      </c>
    </row>
    <row r="305">
      <c r="A305" s="5" t="n"/>
      <c r="G305" s="6" t="n"/>
      <c r="H305" s="6" t="n"/>
      <c r="J305" s="6" t="n"/>
      <c r="K305" s="6" t="n"/>
      <c r="L305" s="7">
        <f>IF(OR(G305="",J305="",I305=""),"",ABS(G305-J305)*I305)</f>
        <v/>
      </c>
      <c r="M305" s="7">
        <f>IF(OR(G305="",H305="",I305="",F305=""),"",IF(F305="Long",(H305-G305)*I305,(G305-H305)*I305))</f>
        <v/>
      </c>
      <c r="N305" s="6">
        <f>IF(OR(M305="",L305="",L305=0),"",M305/L305)</f>
        <v/>
      </c>
      <c r="O305">
        <f>IF(M305="","",IF(M305&gt;0,"Win",IF(M305&lt;0,"Loss","Scratch")))</f>
        <v/>
      </c>
    </row>
    <row r="306">
      <c r="A306" s="5" t="n"/>
      <c r="G306" s="6" t="n"/>
      <c r="H306" s="6" t="n"/>
      <c r="J306" s="6" t="n"/>
      <c r="K306" s="6" t="n"/>
      <c r="L306" s="7">
        <f>IF(OR(G306="",J306="",I306=""),"",ABS(G306-J306)*I306)</f>
        <v/>
      </c>
      <c r="M306" s="7">
        <f>IF(OR(G306="",H306="",I306="",F306=""),"",IF(F306="Long",(H306-G306)*I306,(G306-H306)*I306))</f>
        <v/>
      </c>
      <c r="N306" s="6">
        <f>IF(OR(M306="",L306="",L306=0),"",M306/L306)</f>
        <v/>
      </c>
      <c r="O306">
        <f>IF(M306="","",IF(M306&gt;0,"Win",IF(M306&lt;0,"Loss","Scratch")))</f>
        <v/>
      </c>
    </row>
    <row r="307">
      <c r="A307" s="5" t="n"/>
      <c r="G307" s="6" t="n"/>
      <c r="H307" s="6" t="n"/>
      <c r="J307" s="6" t="n"/>
      <c r="K307" s="6" t="n"/>
      <c r="L307" s="7">
        <f>IF(OR(G307="",J307="",I307=""),"",ABS(G307-J307)*I307)</f>
        <v/>
      </c>
      <c r="M307" s="7">
        <f>IF(OR(G307="",H307="",I307="",F307=""),"",IF(F307="Long",(H307-G307)*I307,(G307-H307)*I307))</f>
        <v/>
      </c>
      <c r="N307" s="6">
        <f>IF(OR(M307="",L307="",L307=0),"",M307/L307)</f>
        <v/>
      </c>
      <c r="O307">
        <f>IF(M307="","",IF(M307&gt;0,"Win",IF(M307&lt;0,"Loss","Scratch")))</f>
        <v/>
      </c>
    </row>
    <row r="308">
      <c r="A308" s="5" t="n"/>
      <c r="G308" s="6" t="n"/>
      <c r="H308" s="6" t="n"/>
      <c r="J308" s="6" t="n"/>
      <c r="K308" s="6" t="n"/>
      <c r="L308" s="7">
        <f>IF(OR(G308="",J308="",I308=""),"",ABS(G308-J308)*I308)</f>
        <v/>
      </c>
      <c r="M308" s="7">
        <f>IF(OR(G308="",H308="",I308="",F308=""),"",IF(F308="Long",(H308-G308)*I308,(G308-H308)*I308))</f>
        <v/>
      </c>
      <c r="N308" s="6">
        <f>IF(OR(M308="",L308="",L308=0),"",M308/L308)</f>
        <v/>
      </c>
      <c r="O308">
        <f>IF(M308="","",IF(M308&gt;0,"Win",IF(M308&lt;0,"Loss","Scratch")))</f>
        <v/>
      </c>
    </row>
    <row r="309">
      <c r="A309" s="5" t="n"/>
      <c r="G309" s="6" t="n"/>
      <c r="H309" s="6" t="n"/>
      <c r="J309" s="6" t="n"/>
      <c r="K309" s="6" t="n"/>
      <c r="L309" s="7">
        <f>IF(OR(G309="",J309="",I309=""),"",ABS(G309-J309)*I309)</f>
        <v/>
      </c>
      <c r="M309" s="7">
        <f>IF(OR(G309="",H309="",I309="",F309=""),"",IF(F309="Long",(H309-G309)*I309,(G309-H309)*I309))</f>
        <v/>
      </c>
      <c r="N309" s="6">
        <f>IF(OR(M309="",L309="",L309=0),"",M309/L309)</f>
        <v/>
      </c>
      <c r="O309">
        <f>IF(M309="","",IF(M309&gt;0,"Win",IF(M309&lt;0,"Loss","Scratch")))</f>
        <v/>
      </c>
    </row>
    <row r="310">
      <c r="A310" s="5" t="n"/>
      <c r="G310" s="6" t="n"/>
      <c r="H310" s="6" t="n"/>
      <c r="J310" s="6" t="n"/>
      <c r="K310" s="6" t="n"/>
      <c r="L310" s="7">
        <f>IF(OR(G310="",J310="",I310=""),"",ABS(G310-J310)*I310)</f>
        <v/>
      </c>
      <c r="M310" s="7">
        <f>IF(OR(G310="",H310="",I310="",F310=""),"",IF(F310="Long",(H310-G310)*I310,(G310-H310)*I310))</f>
        <v/>
      </c>
      <c r="N310" s="6">
        <f>IF(OR(M310="",L310="",L310=0),"",M310/L310)</f>
        <v/>
      </c>
      <c r="O310">
        <f>IF(M310="","",IF(M310&gt;0,"Win",IF(M310&lt;0,"Loss","Scratch")))</f>
        <v/>
      </c>
    </row>
    <row r="311">
      <c r="A311" s="5" t="n"/>
      <c r="G311" s="6" t="n"/>
      <c r="H311" s="6" t="n"/>
      <c r="J311" s="6" t="n"/>
      <c r="K311" s="6" t="n"/>
      <c r="L311" s="7">
        <f>IF(OR(G311="",J311="",I311=""),"",ABS(G311-J311)*I311)</f>
        <v/>
      </c>
      <c r="M311" s="7">
        <f>IF(OR(G311="",H311="",I311="",F311=""),"",IF(F311="Long",(H311-G311)*I311,(G311-H311)*I311))</f>
        <v/>
      </c>
      <c r="N311" s="6">
        <f>IF(OR(M311="",L311="",L311=0),"",M311/L311)</f>
        <v/>
      </c>
      <c r="O311">
        <f>IF(M311="","",IF(M311&gt;0,"Win",IF(M311&lt;0,"Loss","Scratch")))</f>
        <v/>
      </c>
    </row>
    <row r="312">
      <c r="A312" s="5" t="n"/>
      <c r="G312" s="6" t="n"/>
      <c r="H312" s="6" t="n"/>
      <c r="J312" s="6" t="n"/>
      <c r="K312" s="6" t="n"/>
      <c r="L312" s="7">
        <f>IF(OR(G312="",J312="",I312=""),"",ABS(G312-J312)*I312)</f>
        <v/>
      </c>
      <c r="M312" s="7">
        <f>IF(OR(G312="",H312="",I312="",F312=""),"",IF(F312="Long",(H312-G312)*I312,(G312-H312)*I312))</f>
        <v/>
      </c>
      <c r="N312" s="6">
        <f>IF(OR(M312="",L312="",L312=0),"",M312/L312)</f>
        <v/>
      </c>
      <c r="O312">
        <f>IF(M312="","",IF(M312&gt;0,"Win",IF(M312&lt;0,"Loss","Scratch")))</f>
        <v/>
      </c>
    </row>
    <row r="313">
      <c r="A313" s="5" t="n"/>
      <c r="G313" s="6" t="n"/>
      <c r="H313" s="6" t="n"/>
      <c r="J313" s="6" t="n"/>
      <c r="K313" s="6" t="n"/>
      <c r="L313" s="7">
        <f>IF(OR(G313="",J313="",I313=""),"",ABS(G313-J313)*I313)</f>
        <v/>
      </c>
      <c r="M313" s="7">
        <f>IF(OR(G313="",H313="",I313="",F313=""),"",IF(F313="Long",(H313-G313)*I313,(G313-H313)*I313))</f>
        <v/>
      </c>
      <c r="N313" s="6">
        <f>IF(OR(M313="",L313="",L313=0),"",M313/L313)</f>
        <v/>
      </c>
      <c r="O313">
        <f>IF(M313="","",IF(M313&gt;0,"Win",IF(M313&lt;0,"Loss","Scratch")))</f>
        <v/>
      </c>
    </row>
    <row r="314">
      <c r="A314" s="5" t="n"/>
      <c r="G314" s="6" t="n"/>
      <c r="H314" s="6" t="n"/>
      <c r="J314" s="6" t="n"/>
      <c r="K314" s="6" t="n"/>
      <c r="L314" s="7">
        <f>IF(OR(G314="",J314="",I314=""),"",ABS(G314-J314)*I314)</f>
        <v/>
      </c>
      <c r="M314" s="7">
        <f>IF(OR(G314="",H314="",I314="",F314=""),"",IF(F314="Long",(H314-G314)*I314,(G314-H314)*I314))</f>
        <v/>
      </c>
      <c r="N314" s="6">
        <f>IF(OR(M314="",L314="",L314=0),"",M314/L314)</f>
        <v/>
      </c>
      <c r="O314">
        <f>IF(M314="","",IF(M314&gt;0,"Win",IF(M314&lt;0,"Loss","Scratch")))</f>
        <v/>
      </c>
    </row>
    <row r="315">
      <c r="A315" s="5" t="n"/>
      <c r="G315" s="6" t="n"/>
      <c r="H315" s="6" t="n"/>
      <c r="J315" s="6" t="n"/>
      <c r="K315" s="6" t="n"/>
      <c r="L315" s="7">
        <f>IF(OR(G315="",J315="",I315=""),"",ABS(G315-J315)*I315)</f>
        <v/>
      </c>
      <c r="M315" s="7">
        <f>IF(OR(G315="",H315="",I315="",F315=""),"",IF(F315="Long",(H315-G315)*I315,(G315-H315)*I315))</f>
        <v/>
      </c>
      <c r="N315" s="6">
        <f>IF(OR(M315="",L315="",L315=0),"",M315/L315)</f>
        <v/>
      </c>
      <c r="O315">
        <f>IF(M315="","",IF(M315&gt;0,"Win",IF(M315&lt;0,"Loss","Scratch")))</f>
        <v/>
      </c>
    </row>
    <row r="316">
      <c r="A316" s="5" t="n"/>
      <c r="G316" s="6" t="n"/>
      <c r="H316" s="6" t="n"/>
      <c r="J316" s="6" t="n"/>
      <c r="K316" s="6" t="n"/>
      <c r="L316" s="7">
        <f>IF(OR(G316="",J316="",I316=""),"",ABS(G316-J316)*I316)</f>
        <v/>
      </c>
      <c r="M316" s="7">
        <f>IF(OR(G316="",H316="",I316="",F316=""),"",IF(F316="Long",(H316-G316)*I316,(G316-H316)*I316))</f>
        <v/>
      </c>
      <c r="N316" s="6">
        <f>IF(OR(M316="",L316="",L316=0),"",M316/L316)</f>
        <v/>
      </c>
      <c r="O316">
        <f>IF(M316="","",IF(M316&gt;0,"Win",IF(M316&lt;0,"Loss","Scratch")))</f>
        <v/>
      </c>
    </row>
    <row r="317">
      <c r="A317" s="5" t="n"/>
      <c r="G317" s="6" t="n"/>
      <c r="H317" s="6" t="n"/>
      <c r="J317" s="6" t="n"/>
      <c r="K317" s="6" t="n"/>
      <c r="L317" s="7">
        <f>IF(OR(G317="",J317="",I317=""),"",ABS(G317-J317)*I317)</f>
        <v/>
      </c>
      <c r="M317" s="7">
        <f>IF(OR(G317="",H317="",I317="",F317=""),"",IF(F317="Long",(H317-G317)*I317,(G317-H317)*I317))</f>
        <v/>
      </c>
      <c r="N317" s="6">
        <f>IF(OR(M317="",L317="",L317=0),"",M317/L317)</f>
        <v/>
      </c>
      <c r="O317">
        <f>IF(M317="","",IF(M317&gt;0,"Win",IF(M317&lt;0,"Loss","Scratch")))</f>
        <v/>
      </c>
    </row>
    <row r="318">
      <c r="A318" s="5" t="n"/>
      <c r="G318" s="6" t="n"/>
      <c r="H318" s="6" t="n"/>
      <c r="J318" s="6" t="n"/>
      <c r="K318" s="6" t="n"/>
      <c r="L318" s="7">
        <f>IF(OR(G318="",J318="",I318=""),"",ABS(G318-J318)*I318)</f>
        <v/>
      </c>
      <c r="M318" s="7">
        <f>IF(OR(G318="",H318="",I318="",F318=""),"",IF(F318="Long",(H318-G318)*I318,(G318-H318)*I318))</f>
        <v/>
      </c>
      <c r="N318" s="6">
        <f>IF(OR(M318="",L318="",L318=0),"",M318/L318)</f>
        <v/>
      </c>
      <c r="O318">
        <f>IF(M318="","",IF(M318&gt;0,"Win",IF(M318&lt;0,"Loss","Scratch")))</f>
        <v/>
      </c>
    </row>
    <row r="319">
      <c r="A319" s="5" t="n"/>
      <c r="G319" s="6" t="n"/>
      <c r="H319" s="6" t="n"/>
      <c r="J319" s="6" t="n"/>
      <c r="K319" s="6" t="n"/>
      <c r="L319" s="7">
        <f>IF(OR(G319="",J319="",I319=""),"",ABS(G319-J319)*I319)</f>
        <v/>
      </c>
      <c r="M319" s="7">
        <f>IF(OR(G319="",H319="",I319="",F319=""),"",IF(F319="Long",(H319-G319)*I319,(G319-H319)*I319))</f>
        <v/>
      </c>
      <c r="N319" s="6">
        <f>IF(OR(M319="",L319="",L319=0),"",M319/L319)</f>
        <v/>
      </c>
      <c r="O319">
        <f>IF(M319="","",IF(M319&gt;0,"Win",IF(M319&lt;0,"Loss","Scratch")))</f>
        <v/>
      </c>
    </row>
    <row r="320">
      <c r="A320" s="5" t="n"/>
      <c r="G320" s="6" t="n"/>
      <c r="H320" s="6" t="n"/>
      <c r="J320" s="6" t="n"/>
      <c r="K320" s="6" t="n"/>
      <c r="L320" s="7">
        <f>IF(OR(G320="",J320="",I320=""),"",ABS(G320-J320)*I320)</f>
        <v/>
      </c>
      <c r="M320" s="7">
        <f>IF(OR(G320="",H320="",I320="",F320=""),"",IF(F320="Long",(H320-G320)*I320,(G320-H320)*I320))</f>
        <v/>
      </c>
      <c r="N320" s="6">
        <f>IF(OR(M320="",L320="",L320=0),"",M320/L320)</f>
        <v/>
      </c>
      <c r="O320">
        <f>IF(M320="","",IF(M320&gt;0,"Win",IF(M320&lt;0,"Loss","Scratch")))</f>
        <v/>
      </c>
    </row>
    <row r="321">
      <c r="A321" s="5" t="n"/>
      <c r="G321" s="6" t="n"/>
      <c r="H321" s="6" t="n"/>
      <c r="J321" s="6" t="n"/>
      <c r="K321" s="6" t="n"/>
      <c r="L321" s="7">
        <f>IF(OR(G321="",J321="",I321=""),"",ABS(G321-J321)*I321)</f>
        <v/>
      </c>
      <c r="M321" s="7">
        <f>IF(OR(G321="",H321="",I321="",F321=""),"",IF(F321="Long",(H321-G321)*I321,(G321-H321)*I321))</f>
        <v/>
      </c>
      <c r="N321" s="6">
        <f>IF(OR(M321="",L321="",L321=0),"",M321/L321)</f>
        <v/>
      </c>
      <c r="O321">
        <f>IF(M321="","",IF(M321&gt;0,"Win",IF(M321&lt;0,"Loss","Scratch")))</f>
        <v/>
      </c>
    </row>
    <row r="322">
      <c r="A322" s="5" t="n"/>
      <c r="G322" s="6" t="n"/>
      <c r="H322" s="6" t="n"/>
      <c r="J322" s="6" t="n"/>
      <c r="K322" s="6" t="n"/>
      <c r="L322" s="7">
        <f>IF(OR(G322="",J322="",I322=""),"",ABS(G322-J322)*I322)</f>
        <v/>
      </c>
      <c r="M322" s="7">
        <f>IF(OR(G322="",H322="",I322="",F322=""),"",IF(F322="Long",(H322-G322)*I322,(G322-H322)*I322))</f>
        <v/>
      </c>
      <c r="N322" s="6">
        <f>IF(OR(M322="",L322="",L322=0),"",M322/L322)</f>
        <v/>
      </c>
      <c r="O322">
        <f>IF(M322="","",IF(M322&gt;0,"Win",IF(M322&lt;0,"Loss","Scratch")))</f>
        <v/>
      </c>
    </row>
    <row r="323">
      <c r="A323" s="5" t="n"/>
      <c r="G323" s="6" t="n"/>
      <c r="H323" s="6" t="n"/>
      <c r="J323" s="6" t="n"/>
      <c r="K323" s="6" t="n"/>
      <c r="L323" s="7">
        <f>IF(OR(G323="",J323="",I323=""),"",ABS(G323-J323)*I323)</f>
        <v/>
      </c>
      <c r="M323" s="7">
        <f>IF(OR(G323="",H323="",I323="",F323=""),"",IF(F323="Long",(H323-G323)*I323,(G323-H323)*I323))</f>
        <v/>
      </c>
      <c r="N323" s="6">
        <f>IF(OR(M323="",L323="",L323=0),"",M323/L323)</f>
        <v/>
      </c>
      <c r="O323">
        <f>IF(M323="","",IF(M323&gt;0,"Win",IF(M323&lt;0,"Loss","Scratch")))</f>
        <v/>
      </c>
    </row>
    <row r="324">
      <c r="A324" s="5" t="n"/>
      <c r="G324" s="6" t="n"/>
      <c r="H324" s="6" t="n"/>
      <c r="J324" s="6" t="n"/>
      <c r="K324" s="6" t="n"/>
      <c r="L324" s="7">
        <f>IF(OR(G324="",J324="",I324=""),"",ABS(G324-J324)*I324)</f>
        <v/>
      </c>
      <c r="M324" s="7">
        <f>IF(OR(G324="",H324="",I324="",F324=""),"",IF(F324="Long",(H324-G324)*I324,(G324-H324)*I324))</f>
        <v/>
      </c>
      <c r="N324" s="6">
        <f>IF(OR(M324="",L324="",L324=0),"",M324/L324)</f>
        <v/>
      </c>
      <c r="O324">
        <f>IF(M324="","",IF(M324&gt;0,"Win",IF(M324&lt;0,"Loss","Scratch")))</f>
        <v/>
      </c>
    </row>
    <row r="325">
      <c r="A325" s="5" t="n"/>
      <c r="G325" s="6" t="n"/>
      <c r="H325" s="6" t="n"/>
      <c r="J325" s="6" t="n"/>
      <c r="K325" s="6" t="n"/>
      <c r="L325" s="7">
        <f>IF(OR(G325="",J325="",I325=""),"",ABS(G325-J325)*I325)</f>
        <v/>
      </c>
      <c r="M325" s="7">
        <f>IF(OR(G325="",H325="",I325="",F325=""),"",IF(F325="Long",(H325-G325)*I325,(G325-H325)*I325))</f>
        <v/>
      </c>
      <c r="N325" s="6">
        <f>IF(OR(M325="",L325="",L325=0),"",M325/L325)</f>
        <v/>
      </c>
      <c r="O325">
        <f>IF(M325="","",IF(M325&gt;0,"Win",IF(M325&lt;0,"Loss","Scratch")))</f>
        <v/>
      </c>
    </row>
    <row r="326">
      <c r="A326" s="5" t="n"/>
      <c r="G326" s="6" t="n"/>
      <c r="H326" s="6" t="n"/>
      <c r="J326" s="6" t="n"/>
      <c r="K326" s="6" t="n"/>
      <c r="L326" s="7">
        <f>IF(OR(G326="",J326="",I326=""),"",ABS(G326-J326)*I326)</f>
        <v/>
      </c>
      <c r="M326" s="7">
        <f>IF(OR(G326="",H326="",I326="",F326=""),"",IF(F326="Long",(H326-G326)*I326,(G326-H326)*I326))</f>
        <v/>
      </c>
      <c r="N326" s="6">
        <f>IF(OR(M326="",L326="",L326=0),"",M326/L326)</f>
        <v/>
      </c>
      <c r="O326">
        <f>IF(M326="","",IF(M326&gt;0,"Win",IF(M326&lt;0,"Loss","Scratch")))</f>
        <v/>
      </c>
    </row>
    <row r="327">
      <c r="A327" s="5" t="n"/>
      <c r="G327" s="6" t="n"/>
      <c r="H327" s="6" t="n"/>
      <c r="J327" s="6" t="n"/>
      <c r="K327" s="6" t="n"/>
      <c r="L327" s="7">
        <f>IF(OR(G327="",J327="",I327=""),"",ABS(G327-J327)*I327)</f>
        <v/>
      </c>
      <c r="M327" s="7">
        <f>IF(OR(G327="",H327="",I327="",F327=""),"",IF(F327="Long",(H327-G327)*I327,(G327-H327)*I327))</f>
        <v/>
      </c>
      <c r="N327" s="6">
        <f>IF(OR(M327="",L327="",L327=0),"",M327/L327)</f>
        <v/>
      </c>
      <c r="O327">
        <f>IF(M327="","",IF(M327&gt;0,"Win",IF(M327&lt;0,"Loss","Scratch")))</f>
        <v/>
      </c>
    </row>
    <row r="328">
      <c r="A328" s="5" t="n"/>
      <c r="G328" s="6" t="n"/>
      <c r="H328" s="6" t="n"/>
      <c r="J328" s="6" t="n"/>
      <c r="K328" s="6" t="n"/>
      <c r="L328" s="7">
        <f>IF(OR(G328="",J328="",I328=""),"",ABS(G328-J328)*I328)</f>
        <v/>
      </c>
      <c r="M328" s="7">
        <f>IF(OR(G328="",H328="",I328="",F328=""),"",IF(F328="Long",(H328-G328)*I328,(G328-H328)*I328))</f>
        <v/>
      </c>
      <c r="N328" s="6">
        <f>IF(OR(M328="",L328="",L328=0),"",M328/L328)</f>
        <v/>
      </c>
      <c r="O328">
        <f>IF(M328="","",IF(M328&gt;0,"Win",IF(M328&lt;0,"Loss","Scratch")))</f>
        <v/>
      </c>
    </row>
    <row r="329">
      <c r="A329" s="5" t="n"/>
      <c r="G329" s="6" t="n"/>
      <c r="H329" s="6" t="n"/>
      <c r="J329" s="6" t="n"/>
      <c r="K329" s="6" t="n"/>
      <c r="L329" s="7">
        <f>IF(OR(G329="",J329="",I329=""),"",ABS(G329-J329)*I329)</f>
        <v/>
      </c>
      <c r="M329" s="7">
        <f>IF(OR(G329="",H329="",I329="",F329=""),"",IF(F329="Long",(H329-G329)*I329,(G329-H329)*I329))</f>
        <v/>
      </c>
      <c r="N329" s="6">
        <f>IF(OR(M329="",L329="",L329=0),"",M329/L329)</f>
        <v/>
      </c>
      <c r="O329">
        <f>IF(M329="","",IF(M329&gt;0,"Win",IF(M329&lt;0,"Loss","Scratch")))</f>
        <v/>
      </c>
    </row>
    <row r="330">
      <c r="A330" s="5" t="n"/>
      <c r="G330" s="6" t="n"/>
      <c r="H330" s="6" t="n"/>
      <c r="J330" s="6" t="n"/>
      <c r="K330" s="6" t="n"/>
      <c r="L330" s="7">
        <f>IF(OR(G330="",J330="",I330=""),"",ABS(G330-J330)*I330)</f>
        <v/>
      </c>
      <c r="M330" s="7">
        <f>IF(OR(G330="",H330="",I330="",F330=""),"",IF(F330="Long",(H330-G330)*I330,(G330-H330)*I330))</f>
        <v/>
      </c>
      <c r="N330" s="6">
        <f>IF(OR(M330="",L330="",L330=0),"",M330/L330)</f>
        <v/>
      </c>
      <c r="O330">
        <f>IF(M330="","",IF(M330&gt;0,"Win",IF(M330&lt;0,"Loss","Scratch")))</f>
        <v/>
      </c>
    </row>
    <row r="331">
      <c r="A331" s="5" t="n"/>
      <c r="G331" s="6" t="n"/>
      <c r="H331" s="6" t="n"/>
      <c r="J331" s="6" t="n"/>
      <c r="K331" s="6" t="n"/>
      <c r="L331" s="7">
        <f>IF(OR(G331="",J331="",I331=""),"",ABS(G331-J331)*I331)</f>
        <v/>
      </c>
      <c r="M331" s="7">
        <f>IF(OR(G331="",H331="",I331="",F331=""),"",IF(F331="Long",(H331-G331)*I331,(G331-H331)*I331))</f>
        <v/>
      </c>
      <c r="N331" s="6">
        <f>IF(OR(M331="",L331="",L331=0),"",M331/L331)</f>
        <v/>
      </c>
      <c r="O331">
        <f>IF(M331="","",IF(M331&gt;0,"Win",IF(M331&lt;0,"Loss","Scratch")))</f>
        <v/>
      </c>
    </row>
    <row r="332">
      <c r="A332" s="5" t="n"/>
      <c r="G332" s="6" t="n"/>
      <c r="H332" s="6" t="n"/>
      <c r="J332" s="6" t="n"/>
      <c r="K332" s="6" t="n"/>
      <c r="L332" s="7">
        <f>IF(OR(G332="",J332="",I332=""),"",ABS(G332-J332)*I332)</f>
        <v/>
      </c>
      <c r="M332" s="7">
        <f>IF(OR(G332="",H332="",I332="",F332=""),"",IF(F332="Long",(H332-G332)*I332,(G332-H332)*I332))</f>
        <v/>
      </c>
      <c r="N332" s="6">
        <f>IF(OR(M332="",L332="",L332=0),"",M332/L332)</f>
        <v/>
      </c>
      <c r="O332">
        <f>IF(M332="","",IF(M332&gt;0,"Win",IF(M332&lt;0,"Loss","Scratch")))</f>
        <v/>
      </c>
    </row>
    <row r="333">
      <c r="A333" s="5" t="n"/>
      <c r="G333" s="6" t="n"/>
      <c r="H333" s="6" t="n"/>
      <c r="J333" s="6" t="n"/>
      <c r="K333" s="6" t="n"/>
      <c r="L333" s="7">
        <f>IF(OR(G333="",J333="",I333=""),"",ABS(G333-J333)*I333)</f>
        <v/>
      </c>
      <c r="M333" s="7">
        <f>IF(OR(G333="",H333="",I333="",F333=""),"",IF(F333="Long",(H333-G333)*I333,(G333-H333)*I333))</f>
        <v/>
      </c>
      <c r="N333" s="6">
        <f>IF(OR(M333="",L333="",L333=0),"",M333/L333)</f>
        <v/>
      </c>
      <c r="O333">
        <f>IF(M333="","",IF(M333&gt;0,"Win",IF(M333&lt;0,"Loss","Scratch")))</f>
        <v/>
      </c>
    </row>
    <row r="334">
      <c r="A334" s="5" t="n"/>
      <c r="G334" s="6" t="n"/>
      <c r="H334" s="6" t="n"/>
      <c r="J334" s="6" t="n"/>
      <c r="K334" s="6" t="n"/>
      <c r="L334" s="7">
        <f>IF(OR(G334="",J334="",I334=""),"",ABS(G334-J334)*I334)</f>
        <v/>
      </c>
      <c r="M334" s="7">
        <f>IF(OR(G334="",H334="",I334="",F334=""),"",IF(F334="Long",(H334-G334)*I334,(G334-H334)*I334))</f>
        <v/>
      </c>
      <c r="N334" s="6">
        <f>IF(OR(M334="",L334="",L334=0),"",M334/L334)</f>
        <v/>
      </c>
      <c r="O334">
        <f>IF(M334="","",IF(M334&gt;0,"Win",IF(M334&lt;0,"Loss","Scratch")))</f>
        <v/>
      </c>
    </row>
    <row r="335">
      <c r="A335" s="5" t="n"/>
      <c r="G335" s="6" t="n"/>
      <c r="H335" s="6" t="n"/>
      <c r="J335" s="6" t="n"/>
      <c r="K335" s="6" t="n"/>
      <c r="L335" s="7">
        <f>IF(OR(G335="",J335="",I335=""),"",ABS(G335-J335)*I335)</f>
        <v/>
      </c>
      <c r="M335" s="7">
        <f>IF(OR(G335="",H335="",I335="",F335=""),"",IF(F335="Long",(H335-G335)*I335,(G335-H335)*I335))</f>
        <v/>
      </c>
      <c r="N335" s="6">
        <f>IF(OR(M335="",L335="",L335=0),"",M335/L335)</f>
        <v/>
      </c>
      <c r="O335">
        <f>IF(M335="","",IF(M335&gt;0,"Win",IF(M335&lt;0,"Loss","Scratch")))</f>
        <v/>
      </c>
    </row>
    <row r="336">
      <c r="A336" s="5" t="n"/>
      <c r="G336" s="6" t="n"/>
      <c r="H336" s="6" t="n"/>
      <c r="J336" s="6" t="n"/>
      <c r="K336" s="6" t="n"/>
      <c r="L336" s="7">
        <f>IF(OR(G336="",J336="",I336=""),"",ABS(G336-J336)*I336)</f>
        <v/>
      </c>
      <c r="M336" s="7">
        <f>IF(OR(G336="",H336="",I336="",F336=""),"",IF(F336="Long",(H336-G336)*I336,(G336-H336)*I336))</f>
        <v/>
      </c>
      <c r="N336" s="6">
        <f>IF(OR(M336="",L336="",L336=0),"",M336/L336)</f>
        <v/>
      </c>
      <c r="O336">
        <f>IF(M336="","",IF(M336&gt;0,"Win",IF(M336&lt;0,"Loss","Scratch")))</f>
        <v/>
      </c>
    </row>
    <row r="337">
      <c r="A337" s="5" t="n"/>
      <c r="G337" s="6" t="n"/>
      <c r="H337" s="6" t="n"/>
      <c r="J337" s="6" t="n"/>
      <c r="K337" s="6" t="n"/>
      <c r="L337" s="7">
        <f>IF(OR(G337="",J337="",I337=""),"",ABS(G337-J337)*I337)</f>
        <v/>
      </c>
      <c r="M337" s="7">
        <f>IF(OR(G337="",H337="",I337="",F337=""),"",IF(F337="Long",(H337-G337)*I337,(G337-H337)*I337))</f>
        <v/>
      </c>
      <c r="N337" s="6">
        <f>IF(OR(M337="",L337="",L337=0),"",M337/L337)</f>
        <v/>
      </c>
      <c r="O337">
        <f>IF(M337="","",IF(M337&gt;0,"Win",IF(M337&lt;0,"Loss","Scratch")))</f>
        <v/>
      </c>
    </row>
    <row r="338">
      <c r="A338" s="5" t="n"/>
      <c r="G338" s="6" t="n"/>
      <c r="H338" s="6" t="n"/>
      <c r="J338" s="6" t="n"/>
      <c r="K338" s="6" t="n"/>
      <c r="L338" s="7">
        <f>IF(OR(G338="",J338="",I338=""),"",ABS(G338-J338)*I338)</f>
        <v/>
      </c>
      <c r="M338" s="7">
        <f>IF(OR(G338="",H338="",I338="",F338=""),"",IF(F338="Long",(H338-G338)*I338,(G338-H338)*I338))</f>
        <v/>
      </c>
      <c r="N338" s="6">
        <f>IF(OR(M338="",L338="",L338=0),"",M338/L338)</f>
        <v/>
      </c>
      <c r="O338">
        <f>IF(M338="","",IF(M338&gt;0,"Win",IF(M338&lt;0,"Loss","Scratch")))</f>
        <v/>
      </c>
    </row>
    <row r="339">
      <c r="A339" s="5" t="n"/>
      <c r="G339" s="6" t="n"/>
      <c r="H339" s="6" t="n"/>
      <c r="J339" s="6" t="n"/>
      <c r="K339" s="6" t="n"/>
      <c r="L339" s="7">
        <f>IF(OR(G339="",J339="",I339=""),"",ABS(G339-J339)*I339)</f>
        <v/>
      </c>
      <c r="M339" s="7">
        <f>IF(OR(G339="",H339="",I339="",F339=""),"",IF(F339="Long",(H339-G339)*I339,(G339-H339)*I339))</f>
        <v/>
      </c>
      <c r="N339" s="6">
        <f>IF(OR(M339="",L339="",L339=0),"",M339/L339)</f>
        <v/>
      </c>
      <c r="O339">
        <f>IF(M339="","",IF(M339&gt;0,"Win",IF(M339&lt;0,"Loss","Scratch")))</f>
        <v/>
      </c>
    </row>
    <row r="340">
      <c r="A340" s="5" t="n"/>
      <c r="G340" s="6" t="n"/>
      <c r="H340" s="6" t="n"/>
      <c r="J340" s="6" t="n"/>
      <c r="K340" s="6" t="n"/>
      <c r="L340" s="7">
        <f>IF(OR(G340="",J340="",I340=""),"",ABS(G340-J340)*I340)</f>
        <v/>
      </c>
      <c r="M340" s="7">
        <f>IF(OR(G340="",H340="",I340="",F340=""),"",IF(F340="Long",(H340-G340)*I340,(G340-H340)*I340))</f>
        <v/>
      </c>
      <c r="N340" s="6">
        <f>IF(OR(M340="",L340="",L340=0),"",M340/L340)</f>
        <v/>
      </c>
      <c r="O340">
        <f>IF(M340="","",IF(M340&gt;0,"Win",IF(M340&lt;0,"Loss","Scratch")))</f>
        <v/>
      </c>
    </row>
    <row r="341">
      <c r="A341" s="5" t="n"/>
      <c r="G341" s="6" t="n"/>
      <c r="H341" s="6" t="n"/>
      <c r="J341" s="6" t="n"/>
      <c r="K341" s="6" t="n"/>
      <c r="L341" s="7">
        <f>IF(OR(G341="",J341="",I341=""),"",ABS(G341-J341)*I341)</f>
        <v/>
      </c>
      <c r="M341" s="7">
        <f>IF(OR(G341="",H341="",I341="",F341=""),"",IF(F341="Long",(H341-G341)*I341,(G341-H341)*I341))</f>
        <v/>
      </c>
      <c r="N341" s="6">
        <f>IF(OR(M341="",L341="",L341=0),"",M341/L341)</f>
        <v/>
      </c>
      <c r="O341">
        <f>IF(M341="","",IF(M341&gt;0,"Win",IF(M341&lt;0,"Loss","Scratch")))</f>
        <v/>
      </c>
    </row>
    <row r="342">
      <c r="A342" s="5" t="n"/>
      <c r="G342" s="6" t="n"/>
      <c r="H342" s="6" t="n"/>
      <c r="J342" s="6" t="n"/>
      <c r="K342" s="6" t="n"/>
      <c r="L342" s="7">
        <f>IF(OR(G342="",J342="",I342=""),"",ABS(G342-J342)*I342)</f>
        <v/>
      </c>
      <c r="M342" s="7">
        <f>IF(OR(G342="",H342="",I342="",F342=""),"",IF(F342="Long",(H342-G342)*I342,(G342-H342)*I342))</f>
        <v/>
      </c>
      <c r="N342" s="6">
        <f>IF(OR(M342="",L342="",L342=0),"",M342/L342)</f>
        <v/>
      </c>
      <c r="O342">
        <f>IF(M342="","",IF(M342&gt;0,"Win",IF(M342&lt;0,"Loss","Scratch")))</f>
        <v/>
      </c>
    </row>
    <row r="343">
      <c r="A343" s="5" t="n"/>
      <c r="G343" s="6" t="n"/>
      <c r="H343" s="6" t="n"/>
      <c r="J343" s="6" t="n"/>
      <c r="K343" s="6" t="n"/>
      <c r="L343" s="7">
        <f>IF(OR(G343="",J343="",I343=""),"",ABS(G343-J343)*I343)</f>
        <v/>
      </c>
      <c r="M343" s="7">
        <f>IF(OR(G343="",H343="",I343="",F343=""),"",IF(F343="Long",(H343-G343)*I343,(G343-H343)*I343))</f>
        <v/>
      </c>
      <c r="N343" s="6">
        <f>IF(OR(M343="",L343="",L343=0),"",M343/L343)</f>
        <v/>
      </c>
      <c r="O343">
        <f>IF(M343="","",IF(M343&gt;0,"Win",IF(M343&lt;0,"Loss","Scratch")))</f>
        <v/>
      </c>
    </row>
    <row r="344">
      <c r="A344" s="5" t="n"/>
      <c r="G344" s="6" t="n"/>
      <c r="H344" s="6" t="n"/>
      <c r="J344" s="6" t="n"/>
      <c r="K344" s="6" t="n"/>
      <c r="L344" s="7">
        <f>IF(OR(G344="",J344="",I344=""),"",ABS(G344-J344)*I344)</f>
        <v/>
      </c>
      <c r="M344" s="7">
        <f>IF(OR(G344="",H344="",I344="",F344=""),"",IF(F344="Long",(H344-G344)*I344,(G344-H344)*I344))</f>
        <v/>
      </c>
      <c r="N344" s="6">
        <f>IF(OR(M344="",L344="",L344=0),"",M344/L344)</f>
        <v/>
      </c>
      <c r="O344">
        <f>IF(M344="","",IF(M344&gt;0,"Win",IF(M344&lt;0,"Loss","Scratch")))</f>
        <v/>
      </c>
    </row>
    <row r="345">
      <c r="A345" s="5" t="n"/>
      <c r="G345" s="6" t="n"/>
      <c r="H345" s="6" t="n"/>
      <c r="J345" s="6" t="n"/>
      <c r="K345" s="6" t="n"/>
      <c r="L345" s="7">
        <f>IF(OR(G345="",J345="",I345=""),"",ABS(G345-J345)*I345)</f>
        <v/>
      </c>
      <c r="M345" s="7">
        <f>IF(OR(G345="",H345="",I345="",F345=""),"",IF(F345="Long",(H345-G345)*I345,(G345-H345)*I345))</f>
        <v/>
      </c>
      <c r="N345" s="6">
        <f>IF(OR(M345="",L345="",L345=0),"",M345/L345)</f>
        <v/>
      </c>
      <c r="O345">
        <f>IF(M345="","",IF(M345&gt;0,"Win",IF(M345&lt;0,"Loss","Scratch")))</f>
        <v/>
      </c>
    </row>
    <row r="346">
      <c r="A346" s="5" t="n"/>
      <c r="G346" s="6" t="n"/>
      <c r="H346" s="6" t="n"/>
      <c r="J346" s="6" t="n"/>
      <c r="K346" s="6" t="n"/>
      <c r="L346" s="7">
        <f>IF(OR(G346="",J346="",I346=""),"",ABS(G346-J346)*I346)</f>
        <v/>
      </c>
      <c r="M346" s="7">
        <f>IF(OR(G346="",H346="",I346="",F346=""),"",IF(F346="Long",(H346-G346)*I346,(G346-H346)*I346))</f>
        <v/>
      </c>
      <c r="N346" s="6">
        <f>IF(OR(M346="",L346="",L346=0),"",M346/L346)</f>
        <v/>
      </c>
      <c r="O346">
        <f>IF(M346="","",IF(M346&gt;0,"Win",IF(M346&lt;0,"Loss","Scratch")))</f>
        <v/>
      </c>
    </row>
    <row r="347">
      <c r="A347" s="5" t="n"/>
      <c r="G347" s="6" t="n"/>
      <c r="H347" s="6" t="n"/>
      <c r="J347" s="6" t="n"/>
      <c r="K347" s="6" t="n"/>
      <c r="L347" s="7">
        <f>IF(OR(G347="",J347="",I347=""),"",ABS(G347-J347)*I347)</f>
        <v/>
      </c>
      <c r="M347" s="7">
        <f>IF(OR(G347="",H347="",I347="",F347=""),"",IF(F347="Long",(H347-G347)*I347,(G347-H347)*I347))</f>
        <v/>
      </c>
      <c r="N347" s="6">
        <f>IF(OR(M347="",L347="",L347=0),"",M347/L347)</f>
        <v/>
      </c>
      <c r="O347">
        <f>IF(M347="","",IF(M347&gt;0,"Win",IF(M347&lt;0,"Loss","Scratch")))</f>
        <v/>
      </c>
    </row>
    <row r="348">
      <c r="A348" s="5" t="n"/>
      <c r="G348" s="6" t="n"/>
      <c r="H348" s="6" t="n"/>
      <c r="J348" s="6" t="n"/>
      <c r="K348" s="6" t="n"/>
      <c r="L348" s="7">
        <f>IF(OR(G348="",J348="",I348=""),"",ABS(G348-J348)*I348)</f>
        <v/>
      </c>
      <c r="M348" s="7">
        <f>IF(OR(G348="",H348="",I348="",F348=""),"",IF(F348="Long",(H348-G348)*I348,(G348-H348)*I348))</f>
        <v/>
      </c>
      <c r="N348" s="6">
        <f>IF(OR(M348="",L348="",L348=0),"",M348/L348)</f>
        <v/>
      </c>
      <c r="O348">
        <f>IF(M348="","",IF(M348&gt;0,"Win",IF(M348&lt;0,"Loss","Scratch")))</f>
        <v/>
      </c>
    </row>
    <row r="349">
      <c r="A349" s="5" t="n"/>
      <c r="G349" s="6" t="n"/>
      <c r="H349" s="6" t="n"/>
      <c r="J349" s="6" t="n"/>
      <c r="K349" s="6" t="n"/>
      <c r="L349" s="7">
        <f>IF(OR(G349="",J349="",I349=""),"",ABS(G349-J349)*I349)</f>
        <v/>
      </c>
      <c r="M349" s="7">
        <f>IF(OR(G349="",H349="",I349="",F349=""),"",IF(F349="Long",(H349-G349)*I349,(G349-H349)*I349))</f>
        <v/>
      </c>
      <c r="N349" s="6">
        <f>IF(OR(M349="",L349="",L349=0),"",M349/L349)</f>
        <v/>
      </c>
      <c r="O349">
        <f>IF(M349="","",IF(M349&gt;0,"Win",IF(M349&lt;0,"Loss","Scratch")))</f>
        <v/>
      </c>
    </row>
    <row r="350">
      <c r="A350" s="5" t="n"/>
      <c r="G350" s="6" t="n"/>
      <c r="H350" s="6" t="n"/>
      <c r="J350" s="6" t="n"/>
      <c r="K350" s="6" t="n"/>
      <c r="L350" s="7">
        <f>IF(OR(G350="",J350="",I350=""),"",ABS(G350-J350)*I350)</f>
        <v/>
      </c>
      <c r="M350" s="7">
        <f>IF(OR(G350="",H350="",I350="",F350=""),"",IF(F350="Long",(H350-G350)*I350,(G350-H350)*I350))</f>
        <v/>
      </c>
      <c r="N350" s="6">
        <f>IF(OR(M350="",L350="",L350=0),"",M350/L350)</f>
        <v/>
      </c>
      <c r="O350">
        <f>IF(M350="","",IF(M350&gt;0,"Win",IF(M350&lt;0,"Loss","Scratch")))</f>
        <v/>
      </c>
    </row>
    <row r="351">
      <c r="A351" s="5" t="n"/>
      <c r="G351" s="6" t="n"/>
      <c r="H351" s="6" t="n"/>
      <c r="J351" s="6" t="n"/>
      <c r="K351" s="6" t="n"/>
      <c r="L351" s="7">
        <f>IF(OR(G351="",J351="",I351=""),"",ABS(G351-J351)*I351)</f>
        <v/>
      </c>
      <c r="M351" s="7">
        <f>IF(OR(G351="",H351="",I351="",F351=""),"",IF(F351="Long",(H351-G351)*I351,(G351-H351)*I351))</f>
        <v/>
      </c>
      <c r="N351" s="6">
        <f>IF(OR(M351="",L351="",L351=0),"",M351/L351)</f>
        <v/>
      </c>
      <c r="O351">
        <f>IF(M351="","",IF(M351&gt;0,"Win",IF(M351&lt;0,"Loss","Scratch")))</f>
        <v/>
      </c>
    </row>
    <row r="352">
      <c r="A352" s="5" t="n"/>
      <c r="G352" s="6" t="n"/>
      <c r="H352" s="6" t="n"/>
      <c r="J352" s="6" t="n"/>
      <c r="K352" s="6" t="n"/>
      <c r="L352" s="7">
        <f>IF(OR(G352="",J352="",I352=""),"",ABS(G352-J352)*I352)</f>
        <v/>
      </c>
      <c r="M352" s="7">
        <f>IF(OR(G352="",H352="",I352="",F352=""),"",IF(F352="Long",(H352-G352)*I352,(G352-H352)*I352))</f>
        <v/>
      </c>
      <c r="N352" s="6">
        <f>IF(OR(M352="",L352="",L352=0),"",M352/L352)</f>
        <v/>
      </c>
      <c r="O352">
        <f>IF(M352="","",IF(M352&gt;0,"Win",IF(M352&lt;0,"Loss","Scratch")))</f>
        <v/>
      </c>
    </row>
    <row r="353">
      <c r="A353" s="5" t="n"/>
      <c r="G353" s="6" t="n"/>
      <c r="H353" s="6" t="n"/>
      <c r="J353" s="6" t="n"/>
      <c r="K353" s="6" t="n"/>
      <c r="L353" s="7">
        <f>IF(OR(G353="",J353="",I353=""),"",ABS(G353-J353)*I353)</f>
        <v/>
      </c>
      <c r="M353" s="7">
        <f>IF(OR(G353="",H353="",I353="",F353=""),"",IF(F353="Long",(H353-G353)*I353,(G353-H353)*I353))</f>
        <v/>
      </c>
      <c r="N353" s="6">
        <f>IF(OR(M353="",L353="",L353=0),"",M353/L353)</f>
        <v/>
      </c>
      <c r="O353">
        <f>IF(M353="","",IF(M353&gt;0,"Win",IF(M353&lt;0,"Loss","Scratch")))</f>
        <v/>
      </c>
    </row>
    <row r="354">
      <c r="A354" s="5" t="n"/>
      <c r="G354" s="6" t="n"/>
      <c r="H354" s="6" t="n"/>
      <c r="J354" s="6" t="n"/>
      <c r="K354" s="6" t="n"/>
      <c r="L354" s="7">
        <f>IF(OR(G354="",J354="",I354=""),"",ABS(G354-J354)*I354)</f>
        <v/>
      </c>
      <c r="M354" s="7">
        <f>IF(OR(G354="",H354="",I354="",F354=""),"",IF(F354="Long",(H354-G354)*I354,(G354-H354)*I354))</f>
        <v/>
      </c>
      <c r="N354" s="6">
        <f>IF(OR(M354="",L354="",L354=0),"",M354/L354)</f>
        <v/>
      </c>
      <c r="O354">
        <f>IF(M354="","",IF(M354&gt;0,"Win",IF(M354&lt;0,"Loss","Scratch")))</f>
        <v/>
      </c>
    </row>
    <row r="355">
      <c r="A355" s="5" t="n"/>
      <c r="G355" s="6" t="n"/>
      <c r="H355" s="6" t="n"/>
      <c r="J355" s="6" t="n"/>
      <c r="K355" s="6" t="n"/>
      <c r="L355" s="7">
        <f>IF(OR(G355="",J355="",I355=""),"",ABS(G355-J355)*I355)</f>
        <v/>
      </c>
      <c r="M355" s="7">
        <f>IF(OR(G355="",H355="",I355="",F355=""),"",IF(F355="Long",(H355-G355)*I355,(G355-H355)*I355))</f>
        <v/>
      </c>
      <c r="N355" s="6">
        <f>IF(OR(M355="",L355="",L355=0),"",M355/L355)</f>
        <v/>
      </c>
      <c r="O355">
        <f>IF(M355="","",IF(M355&gt;0,"Win",IF(M355&lt;0,"Loss","Scratch")))</f>
        <v/>
      </c>
    </row>
    <row r="356">
      <c r="A356" s="5" t="n"/>
      <c r="G356" s="6" t="n"/>
      <c r="H356" s="6" t="n"/>
      <c r="J356" s="6" t="n"/>
      <c r="K356" s="6" t="n"/>
      <c r="L356" s="7">
        <f>IF(OR(G356="",J356="",I356=""),"",ABS(G356-J356)*I356)</f>
        <v/>
      </c>
      <c r="M356" s="7">
        <f>IF(OR(G356="",H356="",I356="",F356=""),"",IF(F356="Long",(H356-G356)*I356,(G356-H356)*I356))</f>
        <v/>
      </c>
      <c r="N356" s="6">
        <f>IF(OR(M356="",L356="",L356=0),"",M356/L356)</f>
        <v/>
      </c>
      <c r="O356">
        <f>IF(M356="","",IF(M356&gt;0,"Win",IF(M356&lt;0,"Loss","Scratch")))</f>
        <v/>
      </c>
    </row>
    <row r="357">
      <c r="A357" s="5" t="n"/>
      <c r="G357" s="6" t="n"/>
      <c r="H357" s="6" t="n"/>
      <c r="J357" s="6" t="n"/>
      <c r="K357" s="6" t="n"/>
      <c r="L357" s="7">
        <f>IF(OR(G357="",J357="",I357=""),"",ABS(G357-J357)*I357)</f>
        <v/>
      </c>
      <c r="M357" s="7">
        <f>IF(OR(G357="",H357="",I357="",F357=""),"",IF(F357="Long",(H357-G357)*I357,(G357-H357)*I357))</f>
        <v/>
      </c>
      <c r="N357" s="6">
        <f>IF(OR(M357="",L357="",L357=0),"",M357/L357)</f>
        <v/>
      </c>
      <c r="O357">
        <f>IF(M357="","",IF(M357&gt;0,"Win",IF(M357&lt;0,"Loss","Scratch")))</f>
        <v/>
      </c>
    </row>
    <row r="358">
      <c r="A358" s="5" t="n"/>
      <c r="G358" s="6" t="n"/>
      <c r="H358" s="6" t="n"/>
      <c r="J358" s="6" t="n"/>
      <c r="K358" s="6" t="n"/>
      <c r="L358" s="7">
        <f>IF(OR(G358="",J358="",I358=""),"",ABS(G358-J358)*I358)</f>
        <v/>
      </c>
      <c r="M358" s="7">
        <f>IF(OR(G358="",H358="",I358="",F358=""),"",IF(F358="Long",(H358-G358)*I358,(G358-H358)*I358))</f>
        <v/>
      </c>
      <c r="N358" s="6">
        <f>IF(OR(M358="",L358="",L358=0),"",M358/L358)</f>
        <v/>
      </c>
      <c r="O358">
        <f>IF(M358="","",IF(M358&gt;0,"Win",IF(M358&lt;0,"Loss","Scratch")))</f>
        <v/>
      </c>
    </row>
    <row r="359">
      <c r="A359" s="5" t="n"/>
      <c r="G359" s="6" t="n"/>
      <c r="H359" s="6" t="n"/>
      <c r="J359" s="6" t="n"/>
      <c r="K359" s="6" t="n"/>
      <c r="L359" s="7">
        <f>IF(OR(G359="",J359="",I359=""),"",ABS(G359-J359)*I359)</f>
        <v/>
      </c>
      <c r="M359" s="7">
        <f>IF(OR(G359="",H359="",I359="",F359=""),"",IF(F359="Long",(H359-G359)*I359,(G359-H359)*I359))</f>
        <v/>
      </c>
      <c r="N359" s="6">
        <f>IF(OR(M359="",L359="",L359=0),"",M359/L359)</f>
        <v/>
      </c>
      <c r="O359">
        <f>IF(M359="","",IF(M359&gt;0,"Win",IF(M359&lt;0,"Loss","Scratch")))</f>
        <v/>
      </c>
    </row>
    <row r="360">
      <c r="A360" s="5" t="n"/>
      <c r="G360" s="6" t="n"/>
      <c r="H360" s="6" t="n"/>
      <c r="J360" s="6" t="n"/>
      <c r="K360" s="6" t="n"/>
      <c r="L360" s="7">
        <f>IF(OR(G360="",J360="",I360=""),"",ABS(G360-J360)*I360)</f>
        <v/>
      </c>
      <c r="M360" s="7">
        <f>IF(OR(G360="",H360="",I360="",F360=""),"",IF(F360="Long",(H360-G360)*I360,(G360-H360)*I360))</f>
        <v/>
      </c>
      <c r="N360" s="6">
        <f>IF(OR(M360="",L360="",L360=0),"",M360/L360)</f>
        <v/>
      </c>
      <c r="O360">
        <f>IF(M360="","",IF(M360&gt;0,"Win",IF(M360&lt;0,"Loss","Scratch")))</f>
        <v/>
      </c>
    </row>
    <row r="361">
      <c r="A361" s="5" t="n"/>
      <c r="G361" s="6" t="n"/>
      <c r="H361" s="6" t="n"/>
      <c r="J361" s="6" t="n"/>
      <c r="K361" s="6" t="n"/>
      <c r="L361" s="7">
        <f>IF(OR(G361="",J361="",I361=""),"",ABS(G361-J361)*I361)</f>
        <v/>
      </c>
      <c r="M361" s="7">
        <f>IF(OR(G361="",H361="",I361="",F361=""),"",IF(F361="Long",(H361-G361)*I361,(G361-H361)*I361))</f>
        <v/>
      </c>
      <c r="N361" s="6">
        <f>IF(OR(M361="",L361="",L361=0),"",M361/L361)</f>
        <v/>
      </c>
      <c r="O361">
        <f>IF(M361="","",IF(M361&gt;0,"Win",IF(M361&lt;0,"Loss","Scratch")))</f>
        <v/>
      </c>
    </row>
    <row r="362">
      <c r="A362" s="5" t="n"/>
      <c r="G362" s="6" t="n"/>
      <c r="H362" s="6" t="n"/>
      <c r="J362" s="6" t="n"/>
      <c r="K362" s="6" t="n"/>
      <c r="L362" s="7">
        <f>IF(OR(G362="",J362="",I362=""),"",ABS(G362-J362)*I362)</f>
        <v/>
      </c>
      <c r="M362" s="7">
        <f>IF(OR(G362="",H362="",I362="",F362=""),"",IF(F362="Long",(H362-G362)*I362,(G362-H362)*I362))</f>
        <v/>
      </c>
      <c r="N362" s="6">
        <f>IF(OR(M362="",L362="",L362=0),"",M362/L362)</f>
        <v/>
      </c>
      <c r="O362">
        <f>IF(M362="","",IF(M362&gt;0,"Win",IF(M362&lt;0,"Loss","Scratch")))</f>
        <v/>
      </c>
    </row>
    <row r="363">
      <c r="A363" s="5" t="n"/>
      <c r="G363" s="6" t="n"/>
      <c r="H363" s="6" t="n"/>
      <c r="J363" s="6" t="n"/>
      <c r="K363" s="6" t="n"/>
      <c r="L363" s="7">
        <f>IF(OR(G363="",J363="",I363=""),"",ABS(G363-J363)*I363)</f>
        <v/>
      </c>
      <c r="M363" s="7">
        <f>IF(OR(G363="",H363="",I363="",F363=""),"",IF(F363="Long",(H363-G363)*I363,(G363-H363)*I363))</f>
        <v/>
      </c>
      <c r="N363" s="6">
        <f>IF(OR(M363="",L363="",L363=0),"",M363/L363)</f>
        <v/>
      </c>
      <c r="O363">
        <f>IF(M363="","",IF(M363&gt;0,"Win",IF(M363&lt;0,"Loss","Scratch")))</f>
        <v/>
      </c>
    </row>
    <row r="364">
      <c r="A364" s="5" t="n"/>
      <c r="G364" s="6" t="n"/>
      <c r="H364" s="6" t="n"/>
      <c r="J364" s="6" t="n"/>
      <c r="K364" s="6" t="n"/>
      <c r="L364" s="7">
        <f>IF(OR(G364="",J364="",I364=""),"",ABS(G364-J364)*I364)</f>
        <v/>
      </c>
      <c r="M364" s="7">
        <f>IF(OR(G364="",H364="",I364="",F364=""),"",IF(F364="Long",(H364-G364)*I364,(G364-H364)*I364))</f>
        <v/>
      </c>
      <c r="N364" s="6">
        <f>IF(OR(M364="",L364="",L364=0),"",M364/L364)</f>
        <v/>
      </c>
      <c r="O364">
        <f>IF(M364="","",IF(M364&gt;0,"Win",IF(M364&lt;0,"Loss","Scratch")))</f>
        <v/>
      </c>
    </row>
    <row r="365">
      <c r="A365" s="5" t="n"/>
      <c r="G365" s="6" t="n"/>
      <c r="H365" s="6" t="n"/>
      <c r="J365" s="6" t="n"/>
      <c r="K365" s="6" t="n"/>
      <c r="L365" s="7">
        <f>IF(OR(G365="",J365="",I365=""),"",ABS(G365-J365)*I365)</f>
        <v/>
      </c>
      <c r="M365" s="7">
        <f>IF(OR(G365="",H365="",I365="",F365=""),"",IF(F365="Long",(H365-G365)*I365,(G365-H365)*I365))</f>
        <v/>
      </c>
      <c r="N365" s="6">
        <f>IF(OR(M365="",L365="",L365=0),"",M365/L365)</f>
        <v/>
      </c>
      <c r="O365">
        <f>IF(M365="","",IF(M365&gt;0,"Win",IF(M365&lt;0,"Loss","Scratch")))</f>
        <v/>
      </c>
    </row>
    <row r="366">
      <c r="A366" s="5" t="n"/>
      <c r="G366" s="6" t="n"/>
      <c r="H366" s="6" t="n"/>
      <c r="J366" s="6" t="n"/>
      <c r="K366" s="6" t="n"/>
      <c r="L366" s="7">
        <f>IF(OR(G366="",J366="",I366=""),"",ABS(G366-J366)*I366)</f>
        <v/>
      </c>
      <c r="M366" s="7">
        <f>IF(OR(G366="",H366="",I366="",F366=""),"",IF(F366="Long",(H366-G366)*I366,(G366-H366)*I366))</f>
        <v/>
      </c>
      <c r="N366" s="6">
        <f>IF(OR(M366="",L366="",L366=0),"",M366/L366)</f>
        <v/>
      </c>
      <c r="O366">
        <f>IF(M366="","",IF(M366&gt;0,"Win",IF(M366&lt;0,"Loss","Scratch")))</f>
        <v/>
      </c>
    </row>
    <row r="367">
      <c r="A367" s="5" t="n"/>
      <c r="G367" s="6" t="n"/>
      <c r="H367" s="6" t="n"/>
      <c r="J367" s="6" t="n"/>
      <c r="K367" s="6" t="n"/>
      <c r="L367" s="7">
        <f>IF(OR(G367="",J367="",I367=""),"",ABS(G367-J367)*I367)</f>
        <v/>
      </c>
      <c r="M367" s="7">
        <f>IF(OR(G367="",H367="",I367="",F367=""),"",IF(F367="Long",(H367-G367)*I367,(G367-H367)*I367))</f>
        <v/>
      </c>
      <c r="N367" s="6">
        <f>IF(OR(M367="",L367="",L367=0),"",M367/L367)</f>
        <v/>
      </c>
      <c r="O367">
        <f>IF(M367="","",IF(M367&gt;0,"Win",IF(M367&lt;0,"Loss","Scratch")))</f>
        <v/>
      </c>
    </row>
    <row r="368">
      <c r="A368" s="5" t="n"/>
      <c r="G368" s="6" t="n"/>
      <c r="H368" s="6" t="n"/>
      <c r="J368" s="6" t="n"/>
      <c r="K368" s="6" t="n"/>
      <c r="L368" s="7">
        <f>IF(OR(G368="",J368="",I368=""),"",ABS(G368-J368)*I368)</f>
        <v/>
      </c>
      <c r="M368" s="7">
        <f>IF(OR(G368="",H368="",I368="",F368=""),"",IF(F368="Long",(H368-G368)*I368,(G368-H368)*I368))</f>
        <v/>
      </c>
      <c r="N368" s="6">
        <f>IF(OR(M368="",L368="",L368=0),"",M368/L368)</f>
        <v/>
      </c>
      <c r="O368">
        <f>IF(M368="","",IF(M368&gt;0,"Win",IF(M368&lt;0,"Loss","Scratch")))</f>
        <v/>
      </c>
    </row>
    <row r="369">
      <c r="A369" s="5" t="n"/>
      <c r="G369" s="6" t="n"/>
      <c r="H369" s="6" t="n"/>
      <c r="J369" s="6" t="n"/>
      <c r="K369" s="6" t="n"/>
      <c r="L369" s="7">
        <f>IF(OR(G369="",J369="",I369=""),"",ABS(G369-J369)*I369)</f>
        <v/>
      </c>
      <c r="M369" s="7">
        <f>IF(OR(G369="",H369="",I369="",F369=""),"",IF(F369="Long",(H369-G369)*I369,(G369-H369)*I369))</f>
        <v/>
      </c>
      <c r="N369" s="6">
        <f>IF(OR(M369="",L369="",L369=0),"",M369/L369)</f>
        <v/>
      </c>
      <c r="O369">
        <f>IF(M369="","",IF(M369&gt;0,"Win",IF(M369&lt;0,"Loss","Scratch")))</f>
        <v/>
      </c>
    </row>
    <row r="370">
      <c r="A370" s="5" t="n"/>
      <c r="G370" s="6" t="n"/>
      <c r="H370" s="6" t="n"/>
      <c r="J370" s="6" t="n"/>
      <c r="K370" s="6" t="n"/>
      <c r="L370" s="7">
        <f>IF(OR(G370="",J370="",I370=""),"",ABS(G370-J370)*I370)</f>
        <v/>
      </c>
      <c r="M370" s="7">
        <f>IF(OR(G370="",H370="",I370="",F370=""),"",IF(F370="Long",(H370-G370)*I370,(G370-H370)*I370))</f>
        <v/>
      </c>
      <c r="N370" s="6">
        <f>IF(OR(M370="",L370="",L370=0),"",M370/L370)</f>
        <v/>
      </c>
      <c r="O370">
        <f>IF(M370="","",IF(M370&gt;0,"Win",IF(M370&lt;0,"Loss","Scratch")))</f>
        <v/>
      </c>
    </row>
    <row r="371">
      <c r="A371" s="5" t="n"/>
      <c r="G371" s="6" t="n"/>
      <c r="H371" s="6" t="n"/>
      <c r="J371" s="6" t="n"/>
      <c r="K371" s="6" t="n"/>
      <c r="L371" s="7">
        <f>IF(OR(G371="",J371="",I371=""),"",ABS(G371-J371)*I371)</f>
        <v/>
      </c>
      <c r="M371" s="7">
        <f>IF(OR(G371="",H371="",I371="",F371=""),"",IF(F371="Long",(H371-G371)*I371,(G371-H371)*I371))</f>
        <v/>
      </c>
      <c r="N371" s="6">
        <f>IF(OR(M371="",L371="",L371=0),"",M371/L371)</f>
        <v/>
      </c>
      <c r="O371">
        <f>IF(M371="","",IF(M371&gt;0,"Win",IF(M371&lt;0,"Loss","Scratch")))</f>
        <v/>
      </c>
    </row>
    <row r="372">
      <c r="A372" s="5" t="n"/>
      <c r="G372" s="6" t="n"/>
      <c r="H372" s="6" t="n"/>
      <c r="J372" s="6" t="n"/>
      <c r="K372" s="6" t="n"/>
      <c r="L372" s="7">
        <f>IF(OR(G372="",J372="",I372=""),"",ABS(G372-J372)*I372)</f>
        <v/>
      </c>
      <c r="M372" s="7">
        <f>IF(OR(G372="",H372="",I372="",F372=""),"",IF(F372="Long",(H372-G372)*I372,(G372-H372)*I372))</f>
        <v/>
      </c>
      <c r="N372" s="6">
        <f>IF(OR(M372="",L372="",L372=0),"",M372/L372)</f>
        <v/>
      </c>
      <c r="O372">
        <f>IF(M372="","",IF(M372&gt;0,"Win",IF(M372&lt;0,"Loss","Scratch")))</f>
        <v/>
      </c>
    </row>
    <row r="373">
      <c r="A373" s="5" t="n"/>
      <c r="G373" s="6" t="n"/>
      <c r="H373" s="6" t="n"/>
      <c r="J373" s="6" t="n"/>
      <c r="K373" s="6" t="n"/>
      <c r="L373" s="7">
        <f>IF(OR(G373="",J373="",I373=""),"",ABS(G373-J373)*I373)</f>
        <v/>
      </c>
      <c r="M373" s="7">
        <f>IF(OR(G373="",H373="",I373="",F373=""),"",IF(F373="Long",(H373-G373)*I373,(G373-H373)*I373))</f>
        <v/>
      </c>
      <c r="N373" s="6">
        <f>IF(OR(M373="",L373="",L373=0),"",M373/L373)</f>
        <v/>
      </c>
      <c r="O373">
        <f>IF(M373="","",IF(M373&gt;0,"Win",IF(M373&lt;0,"Loss","Scratch")))</f>
        <v/>
      </c>
    </row>
    <row r="374">
      <c r="A374" s="5" t="n"/>
      <c r="G374" s="6" t="n"/>
      <c r="H374" s="6" t="n"/>
      <c r="J374" s="6" t="n"/>
      <c r="K374" s="6" t="n"/>
      <c r="L374" s="7">
        <f>IF(OR(G374="",J374="",I374=""),"",ABS(G374-J374)*I374)</f>
        <v/>
      </c>
      <c r="M374" s="7">
        <f>IF(OR(G374="",H374="",I374="",F374=""),"",IF(F374="Long",(H374-G374)*I374,(G374-H374)*I374))</f>
        <v/>
      </c>
      <c r="N374" s="6">
        <f>IF(OR(M374="",L374="",L374=0),"",M374/L374)</f>
        <v/>
      </c>
      <c r="O374">
        <f>IF(M374="","",IF(M374&gt;0,"Win",IF(M374&lt;0,"Loss","Scratch")))</f>
        <v/>
      </c>
    </row>
    <row r="375">
      <c r="A375" s="5" t="n"/>
      <c r="G375" s="6" t="n"/>
      <c r="H375" s="6" t="n"/>
      <c r="J375" s="6" t="n"/>
      <c r="K375" s="6" t="n"/>
      <c r="L375" s="7">
        <f>IF(OR(G375="",J375="",I375=""),"",ABS(G375-J375)*I375)</f>
        <v/>
      </c>
      <c r="M375" s="7">
        <f>IF(OR(G375="",H375="",I375="",F375=""),"",IF(F375="Long",(H375-G375)*I375,(G375-H375)*I375))</f>
        <v/>
      </c>
      <c r="N375" s="6">
        <f>IF(OR(M375="",L375="",L375=0),"",M375/L375)</f>
        <v/>
      </c>
      <c r="O375">
        <f>IF(M375="","",IF(M375&gt;0,"Win",IF(M375&lt;0,"Loss","Scratch")))</f>
        <v/>
      </c>
    </row>
    <row r="376">
      <c r="A376" s="5" t="n"/>
      <c r="G376" s="6" t="n"/>
      <c r="H376" s="6" t="n"/>
      <c r="J376" s="6" t="n"/>
      <c r="K376" s="6" t="n"/>
      <c r="L376" s="7">
        <f>IF(OR(G376="",J376="",I376=""),"",ABS(G376-J376)*I376)</f>
        <v/>
      </c>
      <c r="M376" s="7">
        <f>IF(OR(G376="",H376="",I376="",F376=""),"",IF(F376="Long",(H376-G376)*I376,(G376-H376)*I376))</f>
        <v/>
      </c>
      <c r="N376" s="6">
        <f>IF(OR(M376="",L376="",L376=0),"",M376/L376)</f>
        <v/>
      </c>
      <c r="O376">
        <f>IF(M376="","",IF(M376&gt;0,"Win",IF(M376&lt;0,"Loss","Scratch")))</f>
        <v/>
      </c>
    </row>
    <row r="377">
      <c r="A377" s="5" t="n"/>
      <c r="G377" s="6" t="n"/>
      <c r="H377" s="6" t="n"/>
      <c r="J377" s="6" t="n"/>
      <c r="K377" s="6" t="n"/>
      <c r="L377" s="7">
        <f>IF(OR(G377="",J377="",I377=""),"",ABS(G377-J377)*I377)</f>
        <v/>
      </c>
      <c r="M377" s="7">
        <f>IF(OR(G377="",H377="",I377="",F377=""),"",IF(F377="Long",(H377-G377)*I377,(G377-H377)*I377))</f>
        <v/>
      </c>
      <c r="N377" s="6">
        <f>IF(OR(M377="",L377="",L377=0),"",M377/L377)</f>
        <v/>
      </c>
      <c r="O377">
        <f>IF(M377="","",IF(M377&gt;0,"Win",IF(M377&lt;0,"Loss","Scratch")))</f>
        <v/>
      </c>
    </row>
    <row r="378">
      <c r="A378" s="5" t="n"/>
      <c r="G378" s="6" t="n"/>
      <c r="H378" s="6" t="n"/>
      <c r="J378" s="6" t="n"/>
      <c r="K378" s="6" t="n"/>
      <c r="L378" s="7">
        <f>IF(OR(G378="",J378="",I378=""),"",ABS(G378-J378)*I378)</f>
        <v/>
      </c>
      <c r="M378" s="7">
        <f>IF(OR(G378="",H378="",I378="",F378=""),"",IF(F378="Long",(H378-G378)*I378,(G378-H378)*I378))</f>
        <v/>
      </c>
      <c r="N378" s="6">
        <f>IF(OR(M378="",L378="",L378=0),"",M378/L378)</f>
        <v/>
      </c>
      <c r="O378">
        <f>IF(M378="","",IF(M378&gt;0,"Win",IF(M378&lt;0,"Loss","Scratch")))</f>
        <v/>
      </c>
    </row>
    <row r="379">
      <c r="A379" s="5" t="n"/>
      <c r="G379" s="6" t="n"/>
      <c r="H379" s="6" t="n"/>
      <c r="J379" s="6" t="n"/>
      <c r="K379" s="6" t="n"/>
      <c r="L379" s="7">
        <f>IF(OR(G379="",J379="",I379=""),"",ABS(G379-J379)*I379)</f>
        <v/>
      </c>
      <c r="M379" s="7">
        <f>IF(OR(G379="",H379="",I379="",F379=""),"",IF(F379="Long",(H379-G379)*I379,(G379-H379)*I379))</f>
        <v/>
      </c>
      <c r="N379" s="6">
        <f>IF(OR(M379="",L379="",L379=0),"",M379/L379)</f>
        <v/>
      </c>
      <c r="O379">
        <f>IF(M379="","",IF(M379&gt;0,"Win",IF(M379&lt;0,"Loss","Scratch")))</f>
        <v/>
      </c>
    </row>
    <row r="380">
      <c r="A380" s="5" t="n"/>
      <c r="G380" s="6" t="n"/>
      <c r="H380" s="6" t="n"/>
      <c r="J380" s="6" t="n"/>
      <c r="K380" s="6" t="n"/>
      <c r="L380" s="7">
        <f>IF(OR(G380="",J380="",I380=""),"",ABS(G380-J380)*I380)</f>
        <v/>
      </c>
      <c r="M380" s="7">
        <f>IF(OR(G380="",H380="",I380="",F380=""),"",IF(F380="Long",(H380-G380)*I380,(G380-H380)*I380))</f>
        <v/>
      </c>
      <c r="N380" s="6">
        <f>IF(OR(M380="",L380="",L380=0),"",M380/L380)</f>
        <v/>
      </c>
      <c r="O380">
        <f>IF(M380="","",IF(M380&gt;0,"Win",IF(M380&lt;0,"Loss","Scratch")))</f>
        <v/>
      </c>
    </row>
    <row r="381">
      <c r="A381" s="5" t="n"/>
      <c r="G381" s="6" t="n"/>
      <c r="H381" s="6" t="n"/>
      <c r="J381" s="6" t="n"/>
      <c r="K381" s="6" t="n"/>
      <c r="L381" s="7">
        <f>IF(OR(G381="",J381="",I381=""),"",ABS(G381-J381)*I381)</f>
        <v/>
      </c>
      <c r="M381" s="7">
        <f>IF(OR(G381="",H381="",I381="",F381=""),"",IF(F381="Long",(H381-G381)*I381,(G381-H381)*I381))</f>
        <v/>
      </c>
      <c r="N381" s="6">
        <f>IF(OR(M381="",L381="",L381=0),"",M381/L381)</f>
        <v/>
      </c>
      <c r="O381">
        <f>IF(M381="","",IF(M381&gt;0,"Win",IF(M381&lt;0,"Loss","Scratch")))</f>
        <v/>
      </c>
    </row>
    <row r="382">
      <c r="A382" s="5" t="n"/>
      <c r="G382" s="6" t="n"/>
      <c r="H382" s="6" t="n"/>
      <c r="J382" s="6" t="n"/>
      <c r="K382" s="6" t="n"/>
      <c r="L382" s="7">
        <f>IF(OR(G382="",J382="",I382=""),"",ABS(G382-J382)*I382)</f>
        <v/>
      </c>
      <c r="M382" s="7">
        <f>IF(OR(G382="",H382="",I382="",F382=""),"",IF(F382="Long",(H382-G382)*I382,(G382-H382)*I382))</f>
        <v/>
      </c>
      <c r="N382" s="6">
        <f>IF(OR(M382="",L382="",L382=0),"",M382/L382)</f>
        <v/>
      </c>
      <c r="O382">
        <f>IF(M382="","",IF(M382&gt;0,"Win",IF(M382&lt;0,"Loss","Scratch")))</f>
        <v/>
      </c>
    </row>
    <row r="383">
      <c r="A383" s="5" t="n"/>
      <c r="G383" s="6" t="n"/>
      <c r="H383" s="6" t="n"/>
      <c r="J383" s="6" t="n"/>
      <c r="K383" s="6" t="n"/>
      <c r="L383" s="7">
        <f>IF(OR(G383="",J383="",I383=""),"",ABS(G383-J383)*I383)</f>
        <v/>
      </c>
      <c r="M383" s="7">
        <f>IF(OR(G383="",H383="",I383="",F383=""),"",IF(F383="Long",(H383-G383)*I383,(G383-H383)*I383))</f>
        <v/>
      </c>
      <c r="N383" s="6">
        <f>IF(OR(M383="",L383="",L383=0),"",M383/L383)</f>
        <v/>
      </c>
      <c r="O383">
        <f>IF(M383="","",IF(M383&gt;0,"Win",IF(M383&lt;0,"Loss","Scratch")))</f>
        <v/>
      </c>
    </row>
    <row r="384">
      <c r="A384" s="5" t="n"/>
      <c r="G384" s="6" t="n"/>
      <c r="H384" s="6" t="n"/>
      <c r="J384" s="6" t="n"/>
      <c r="K384" s="6" t="n"/>
      <c r="L384" s="7">
        <f>IF(OR(G384="",J384="",I384=""),"",ABS(G384-J384)*I384)</f>
        <v/>
      </c>
      <c r="M384" s="7">
        <f>IF(OR(G384="",H384="",I384="",F384=""),"",IF(F384="Long",(H384-G384)*I384,(G384-H384)*I384))</f>
        <v/>
      </c>
      <c r="N384" s="6">
        <f>IF(OR(M384="",L384="",L384=0),"",M384/L384)</f>
        <v/>
      </c>
      <c r="O384">
        <f>IF(M384="","",IF(M384&gt;0,"Win",IF(M384&lt;0,"Loss","Scratch")))</f>
        <v/>
      </c>
    </row>
    <row r="385">
      <c r="A385" s="5" t="n"/>
      <c r="G385" s="6" t="n"/>
      <c r="H385" s="6" t="n"/>
      <c r="J385" s="6" t="n"/>
      <c r="K385" s="6" t="n"/>
      <c r="L385" s="7">
        <f>IF(OR(G385="",J385="",I385=""),"",ABS(G385-J385)*I385)</f>
        <v/>
      </c>
      <c r="M385" s="7">
        <f>IF(OR(G385="",H385="",I385="",F385=""),"",IF(F385="Long",(H385-G385)*I385,(G385-H385)*I385))</f>
        <v/>
      </c>
      <c r="N385" s="6">
        <f>IF(OR(M385="",L385="",L385=0),"",M385/L385)</f>
        <v/>
      </c>
      <c r="O385">
        <f>IF(M385="","",IF(M385&gt;0,"Win",IF(M385&lt;0,"Loss","Scratch")))</f>
        <v/>
      </c>
    </row>
    <row r="386">
      <c r="A386" s="5" t="n"/>
      <c r="G386" s="6" t="n"/>
      <c r="H386" s="6" t="n"/>
      <c r="J386" s="6" t="n"/>
      <c r="K386" s="6" t="n"/>
      <c r="L386" s="7">
        <f>IF(OR(G386="",J386="",I386=""),"",ABS(G386-J386)*I386)</f>
        <v/>
      </c>
      <c r="M386" s="7">
        <f>IF(OR(G386="",H386="",I386="",F386=""),"",IF(F386="Long",(H386-G386)*I386,(G386-H386)*I386))</f>
        <v/>
      </c>
      <c r="N386" s="6">
        <f>IF(OR(M386="",L386="",L386=0),"",M386/L386)</f>
        <v/>
      </c>
      <c r="O386">
        <f>IF(M386="","",IF(M386&gt;0,"Win",IF(M386&lt;0,"Loss","Scratch")))</f>
        <v/>
      </c>
    </row>
    <row r="387">
      <c r="A387" s="5" t="n"/>
      <c r="G387" s="6" t="n"/>
      <c r="H387" s="6" t="n"/>
      <c r="J387" s="6" t="n"/>
      <c r="K387" s="6" t="n"/>
      <c r="L387" s="7">
        <f>IF(OR(G387="",J387="",I387=""),"",ABS(G387-J387)*I387)</f>
        <v/>
      </c>
      <c r="M387" s="7">
        <f>IF(OR(G387="",H387="",I387="",F387=""),"",IF(F387="Long",(H387-G387)*I387,(G387-H387)*I387))</f>
        <v/>
      </c>
      <c r="N387" s="6">
        <f>IF(OR(M387="",L387="",L387=0),"",M387/L387)</f>
        <v/>
      </c>
      <c r="O387">
        <f>IF(M387="","",IF(M387&gt;0,"Win",IF(M387&lt;0,"Loss","Scratch")))</f>
        <v/>
      </c>
    </row>
    <row r="388">
      <c r="A388" s="5" t="n"/>
      <c r="G388" s="6" t="n"/>
      <c r="H388" s="6" t="n"/>
      <c r="J388" s="6" t="n"/>
      <c r="K388" s="6" t="n"/>
      <c r="L388" s="7">
        <f>IF(OR(G388="",J388="",I388=""),"",ABS(G388-J388)*I388)</f>
        <v/>
      </c>
      <c r="M388" s="7">
        <f>IF(OR(G388="",H388="",I388="",F388=""),"",IF(F388="Long",(H388-G388)*I388,(G388-H388)*I388))</f>
        <v/>
      </c>
      <c r="N388" s="6">
        <f>IF(OR(M388="",L388="",L388=0),"",M388/L388)</f>
        <v/>
      </c>
      <c r="O388">
        <f>IF(M388="","",IF(M388&gt;0,"Win",IF(M388&lt;0,"Loss","Scratch")))</f>
        <v/>
      </c>
    </row>
    <row r="389">
      <c r="A389" s="5" t="n"/>
      <c r="G389" s="6" t="n"/>
      <c r="H389" s="6" t="n"/>
      <c r="J389" s="6" t="n"/>
      <c r="K389" s="6" t="n"/>
      <c r="L389" s="7">
        <f>IF(OR(G389="",J389="",I389=""),"",ABS(G389-J389)*I389)</f>
        <v/>
      </c>
      <c r="M389" s="7">
        <f>IF(OR(G389="",H389="",I389="",F389=""),"",IF(F389="Long",(H389-G389)*I389,(G389-H389)*I389))</f>
        <v/>
      </c>
      <c r="N389" s="6">
        <f>IF(OR(M389="",L389="",L389=0),"",M389/L389)</f>
        <v/>
      </c>
      <c r="O389">
        <f>IF(M389="","",IF(M389&gt;0,"Win",IF(M389&lt;0,"Loss","Scratch")))</f>
        <v/>
      </c>
    </row>
    <row r="390">
      <c r="A390" s="5" t="n"/>
      <c r="G390" s="6" t="n"/>
      <c r="H390" s="6" t="n"/>
      <c r="J390" s="6" t="n"/>
      <c r="K390" s="6" t="n"/>
      <c r="L390" s="7">
        <f>IF(OR(G390="",J390="",I390=""),"",ABS(G390-J390)*I390)</f>
        <v/>
      </c>
      <c r="M390" s="7">
        <f>IF(OR(G390="",H390="",I390="",F390=""),"",IF(F390="Long",(H390-G390)*I390,(G390-H390)*I390))</f>
        <v/>
      </c>
      <c r="N390" s="6">
        <f>IF(OR(M390="",L390="",L390=0),"",M390/L390)</f>
        <v/>
      </c>
      <c r="O390">
        <f>IF(M390="","",IF(M390&gt;0,"Win",IF(M390&lt;0,"Loss","Scratch")))</f>
        <v/>
      </c>
    </row>
    <row r="391">
      <c r="A391" s="5" t="n"/>
      <c r="G391" s="6" t="n"/>
      <c r="H391" s="6" t="n"/>
      <c r="J391" s="6" t="n"/>
      <c r="K391" s="6" t="n"/>
      <c r="L391" s="7">
        <f>IF(OR(G391="",J391="",I391=""),"",ABS(G391-J391)*I391)</f>
        <v/>
      </c>
      <c r="M391" s="7">
        <f>IF(OR(G391="",H391="",I391="",F391=""),"",IF(F391="Long",(H391-G391)*I391,(G391-H391)*I391))</f>
        <v/>
      </c>
      <c r="N391" s="6">
        <f>IF(OR(M391="",L391="",L391=0),"",M391/L391)</f>
        <v/>
      </c>
      <c r="O391">
        <f>IF(M391="","",IF(M391&gt;0,"Win",IF(M391&lt;0,"Loss","Scratch")))</f>
        <v/>
      </c>
    </row>
    <row r="392">
      <c r="A392" s="5" t="n"/>
      <c r="G392" s="6" t="n"/>
      <c r="H392" s="6" t="n"/>
      <c r="J392" s="6" t="n"/>
      <c r="K392" s="6" t="n"/>
      <c r="L392" s="7">
        <f>IF(OR(G392="",J392="",I392=""),"",ABS(G392-J392)*I392)</f>
        <v/>
      </c>
      <c r="M392" s="7">
        <f>IF(OR(G392="",H392="",I392="",F392=""),"",IF(F392="Long",(H392-G392)*I392,(G392-H392)*I392))</f>
        <v/>
      </c>
      <c r="N392" s="6">
        <f>IF(OR(M392="",L392="",L392=0),"",M392/L392)</f>
        <v/>
      </c>
      <c r="O392">
        <f>IF(M392="","",IF(M392&gt;0,"Win",IF(M392&lt;0,"Loss","Scratch")))</f>
        <v/>
      </c>
    </row>
    <row r="393">
      <c r="A393" s="5" t="n"/>
      <c r="G393" s="6" t="n"/>
      <c r="H393" s="6" t="n"/>
      <c r="J393" s="6" t="n"/>
      <c r="K393" s="6" t="n"/>
      <c r="L393" s="7">
        <f>IF(OR(G393="",J393="",I393=""),"",ABS(G393-J393)*I393)</f>
        <v/>
      </c>
      <c r="M393" s="7">
        <f>IF(OR(G393="",H393="",I393="",F393=""),"",IF(F393="Long",(H393-G393)*I393,(G393-H393)*I393))</f>
        <v/>
      </c>
      <c r="N393" s="6">
        <f>IF(OR(M393="",L393="",L393=0),"",M393/L393)</f>
        <v/>
      </c>
      <c r="O393">
        <f>IF(M393="","",IF(M393&gt;0,"Win",IF(M393&lt;0,"Loss","Scratch")))</f>
        <v/>
      </c>
    </row>
    <row r="394">
      <c r="A394" s="5" t="n"/>
      <c r="G394" s="6" t="n"/>
      <c r="H394" s="6" t="n"/>
      <c r="J394" s="6" t="n"/>
      <c r="K394" s="6" t="n"/>
      <c r="L394" s="7">
        <f>IF(OR(G394="",J394="",I394=""),"",ABS(G394-J394)*I394)</f>
        <v/>
      </c>
      <c r="M394" s="7">
        <f>IF(OR(G394="",H394="",I394="",F394=""),"",IF(F394="Long",(H394-G394)*I394,(G394-H394)*I394))</f>
        <v/>
      </c>
      <c r="N394" s="6">
        <f>IF(OR(M394="",L394="",L394=0),"",M394/L394)</f>
        <v/>
      </c>
      <c r="O394">
        <f>IF(M394="","",IF(M394&gt;0,"Win",IF(M394&lt;0,"Loss","Scratch")))</f>
        <v/>
      </c>
    </row>
    <row r="395">
      <c r="A395" s="5" t="n"/>
      <c r="G395" s="6" t="n"/>
      <c r="H395" s="6" t="n"/>
      <c r="J395" s="6" t="n"/>
      <c r="K395" s="6" t="n"/>
      <c r="L395" s="7">
        <f>IF(OR(G395="",J395="",I395=""),"",ABS(G395-J395)*I395)</f>
        <v/>
      </c>
      <c r="M395" s="7">
        <f>IF(OR(G395="",H395="",I395="",F395=""),"",IF(F395="Long",(H395-G395)*I395,(G395-H395)*I395))</f>
        <v/>
      </c>
      <c r="N395" s="6">
        <f>IF(OR(M395="",L395="",L395=0),"",M395/L395)</f>
        <v/>
      </c>
      <c r="O395">
        <f>IF(M395="","",IF(M395&gt;0,"Win",IF(M395&lt;0,"Loss","Scratch")))</f>
        <v/>
      </c>
    </row>
    <row r="396">
      <c r="A396" s="5" t="n"/>
      <c r="G396" s="6" t="n"/>
      <c r="H396" s="6" t="n"/>
      <c r="J396" s="6" t="n"/>
      <c r="K396" s="6" t="n"/>
      <c r="L396" s="7">
        <f>IF(OR(G396="",J396="",I396=""),"",ABS(G396-J396)*I396)</f>
        <v/>
      </c>
      <c r="M396" s="7">
        <f>IF(OR(G396="",H396="",I396="",F396=""),"",IF(F396="Long",(H396-G396)*I396,(G396-H396)*I396))</f>
        <v/>
      </c>
      <c r="N396" s="6">
        <f>IF(OR(M396="",L396="",L396=0),"",M396/L396)</f>
        <v/>
      </c>
      <c r="O396">
        <f>IF(M396="","",IF(M396&gt;0,"Win",IF(M396&lt;0,"Loss","Scratch")))</f>
        <v/>
      </c>
    </row>
    <row r="397">
      <c r="A397" s="5" t="n"/>
      <c r="G397" s="6" t="n"/>
      <c r="H397" s="6" t="n"/>
      <c r="J397" s="6" t="n"/>
      <c r="K397" s="6" t="n"/>
      <c r="L397" s="7">
        <f>IF(OR(G397="",J397="",I397=""),"",ABS(G397-J397)*I397)</f>
        <v/>
      </c>
      <c r="M397" s="7">
        <f>IF(OR(G397="",H397="",I397="",F397=""),"",IF(F397="Long",(H397-G397)*I397,(G397-H397)*I397))</f>
        <v/>
      </c>
      <c r="N397" s="6">
        <f>IF(OR(M397="",L397="",L397=0),"",M397/L397)</f>
        <v/>
      </c>
      <c r="O397">
        <f>IF(M397="","",IF(M397&gt;0,"Win",IF(M397&lt;0,"Loss","Scratch")))</f>
        <v/>
      </c>
    </row>
    <row r="398">
      <c r="A398" s="5" t="n"/>
      <c r="G398" s="6" t="n"/>
      <c r="H398" s="6" t="n"/>
      <c r="J398" s="6" t="n"/>
      <c r="K398" s="6" t="n"/>
      <c r="L398" s="7">
        <f>IF(OR(G398="",J398="",I398=""),"",ABS(G398-J398)*I398)</f>
        <v/>
      </c>
      <c r="M398" s="7">
        <f>IF(OR(G398="",H398="",I398="",F398=""),"",IF(F398="Long",(H398-G398)*I398,(G398-H398)*I398))</f>
        <v/>
      </c>
      <c r="N398" s="6">
        <f>IF(OR(M398="",L398="",L398=0),"",M398/L398)</f>
        <v/>
      </c>
      <c r="O398">
        <f>IF(M398="","",IF(M398&gt;0,"Win",IF(M398&lt;0,"Loss","Scratch")))</f>
        <v/>
      </c>
    </row>
    <row r="399">
      <c r="A399" s="5" t="n"/>
      <c r="G399" s="6" t="n"/>
      <c r="H399" s="6" t="n"/>
      <c r="J399" s="6" t="n"/>
      <c r="K399" s="6" t="n"/>
      <c r="L399" s="7">
        <f>IF(OR(G399="",J399="",I399=""),"",ABS(G399-J399)*I399)</f>
        <v/>
      </c>
      <c r="M399" s="7">
        <f>IF(OR(G399="",H399="",I399="",F399=""),"",IF(F399="Long",(H399-G399)*I399,(G399-H399)*I399))</f>
        <v/>
      </c>
      <c r="N399" s="6">
        <f>IF(OR(M399="",L399="",L399=0),"",M399/L399)</f>
        <v/>
      </c>
      <c r="O399">
        <f>IF(M399="","",IF(M399&gt;0,"Win",IF(M399&lt;0,"Loss","Scratch")))</f>
        <v/>
      </c>
    </row>
    <row r="400">
      <c r="A400" s="5" t="n"/>
      <c r="G400" s="6" t="n"/>
      <c r="H400" s="6" t="n"/>
      <c r="J400" s="6" t="n"/>
      <c r="K400" s="6" t="n"/>
      <c r="L400" s="7">
        <f>IF(OR(G400="",J400="",I400=""),"",ABS(G400-J400)*I400)</f>
        <v/>
      </c>
      <c r="M400" s="7">
        <f>IF(OR(G400="",H400="",I400="",F400=""),"",IF(F400="Long",(H400-G400)*I400,(G400-H400)*I400))</f>
        <v/>
      </c>
      <c r="N400" s="6">
        <f>IF(OR(M400="",L400="",L400=0),"",M400/L400)</f>
        <v/>
      </c>
      <c r="O400">
        <f>IF(M400="","",IF(M400&gt;0,"Win",IF(M400&lt;0,"Loss","Scratch")))</f>
        <v/>
      </c>
    </row>
    <row r="401">
      <c r="A401" s="5" t="n"/>
      <c r="G401" s="6" t="n"/>
      <c r="H401" s="6" t="n"/>
      <c r="J401" s="6" t="n"/>
      <c r="K401" s="6" t="n"/>
      <c r="L401" s="7">
        <f>IF(OR(G401="",J401="",I401=""),"",ABS(G401-J401)*I401)</f>
        <v/>
      </c>
      <c r="M401" s="7">
        <f>IF(OR(G401="",H401="",I401="",F401=""),"",IF(F401="Long",(H401-G401)*I401,(G401-H401)*I401))</f>
        <v/>
      </c>
      <c r="N401" s="6">
        <f>IF(OR(M401="",L401="",L401=0),"",M401/L401)</f>
        <v/>
      </c>
      <c r="O401">
        <f>IF(M401="","",IF(M401&gt;0,"Win",IF(M401&lt;0,"Loss","Scratch")))</f>
        <v/>
      </c>
    </row>
    <row r="402">
      <c r="A402" s="5" t="n"/>
      <c r="G402" s="6" t="n"/>
      <c r="H402" s="6" t="n"/>
      <c r="J402" s="6" t="n"/>
      <c r="K402" s="6" t="n"/>
      <c r="L402" s="7">
        <f>IF(OR(G402="",J402="",I402=""),"",ABS(G402-J402)*I402)</f>
        <v/>
      </c>
      <c r="M402" s="7">
        <f>IF(OR(G402="",H402="",I402="",F402=""),"",IF(F402="Long",(H402-G402)*I402,(G402-H402)*I402))</f>
        <v/>
      </c>
      <c r="N402" s="6">
        <f>IF(OR(M402="",L402="",L402=0),"",M402/L402)</f>
        <v/>
      </c>
      <c r="O402">
        <f>IF(M402="","",IF(M402&gt;0,"Win",IF(M402&lt;0,"Loss","Scratch")))</f>
        <v/>
      </c>
    </row>
    <row r="403">
      <c r="A403" s="5" t="n"/>
      <c r="G403" s="6" t="n"/>
      <c r="H403" s="6" t="n"/>
      <c r="J403" s="6" t="n"/>
      <c r="K403" s="6" t="n"/>
      <c r="L403" s="7">
        <f>IF(OR(G403="",J403="",I403=""),"",ABS(G403-J403)*I403)</f>
        <v/>
      </c>
      <c r="M403" s="7">
        <f>IF(OR(G403="",H403="",I403="",F403=""),"",IF(F403="Long",(H403-G403)*I403,(G403-H403)*I403))</f>
        <v/>
      </c>
      <c r="N403" s="6">
        <f>IF(OR(M403="",L403="",L403=0),"",M403/L403)</f>
        <v/>
      </c>
      <c r="O403">
        <f>IF(M403="","",IF(M403&gt;0,"Win",IF(M403&lt;0,"Loss","Scratch")))</f>
        <v/>
      </c>
    </row>
    <row r="404">
      <c r="A404" s="5" t="n"/>
      <c r="G404" s="6" t="n"/>
      <c r="H404" s="6" t="n"/>
      <c r="J404" s="6" t="n"/>
      <c r="K404" s="6" t="n"/>
      <c r="L404" s="7">
        <f>IF(OR(G404="",J404="",I404=""),"",ABS(G404-J404)*I404)</f>
        <v/>
      </c>
      <c r="M404" s="7">
        <f>IF(OR(G404="",H404="",I404="",F404=""),"",IF(F404="Long",(H404-G404)*I404,(G404-H404)*I404))</f>
        <v/>
      </c>
      <c r="N404" s="6">
        <f>IF(OR(M404="",L404="",L404=0),"",M404/L404)</f>
        <v/>
      </c>
      <c r="O404">
        <f>IF(M404="","",IF(M404&gt;0,"Win",IF(M404&lt;0,"Loss","Scratch")))</f>
        <v/>
      </c>
    </row>
    <row r="405">
      <c r="A405" s="5" t="n"/>
      <c r="G405" s="6" t="n"/>
      <c r="H405" s="6" t="n"/>
      <c r="J405" s="6" t="n"/>
      <c r="K405" s="6" t="n"/>
      <c r="L405" s="7">
        <f>IF(OR(G405="",J405="",I405=""),"",ABS(G405-J405)*I405)</f>
        <v/>
      </c>
      <c r="M405" s="7">
        <f>IF(OR(G405="",H405="",I405="",F405=""),"",IF(F405="Long",(H405-G405)*I405,(G405-H405)*I405))</f>
        <v/>
      </c>
      <c r="N405" s="6">
        <f>IF(OR(M405="",L405="",L405=0),"",M405/L405)</f>
        <v/>
      </c>
      <c r="O405">
        <f>IF(M405="","",IF(M405&gt;0,"Win",IF(M405&lt;0,"Loss","Scratch")))</f>
        <v/>
      </c>
    </row>
    <row r="406">
      <c r="A406" s="5" t="n"/>
      <c r="G406" s="6" t="n"/>
      <c r="H406" s="6" t="n"/>
      <c r="J406" s="6" t="n"/>
      <c r="K406" s="6" t="n"/>
      <c r="L406" s="7">
        <f>IF(OR(G406="",J406="",I406=""),"",ABS(G406-J406)*I406)</f>
        <v/>
      </c>
      <c r="M406" s="7">
        <f>IF(OR(G406="",H406="",I406="",F406=""),"",IF(F406="Long",(H406-G406)*I406,(G406-H406)*I406))</f>
        <v/>
      </c>
      <c r="N406" s="6">
        <f>IF(OR(M406="",L406="",L406=0),"",M406/L406)</f>
        <v/>
      </c>
      <c r="O406">
        <f>IF(M406="","",IF(M406&gt;0,"Win",IF(M406&lt;0,"Loss","Scratch")))</f>
        <v/>
      </c>
    </row>
    <row r="407">
      <c r="A407" s="5" t="n"/>
      <c r="G407" s="6" t="n"/>
      <c r="H407" s="6" t="n"/>
      <c r="J407" s="6" t="n"/>
      <c r="K407" s="6" t="n"/>
      <c r="L407" s="7">
        <f>IF(OR(G407="",J407="",I407=""),"",ABS(G407-J407)*I407)</f>
        <v/>
      </c>
      <c r="M407" s="7">
        <f>IF(OR(G407="",H407="",I407="",F407=""),"",IF(F407="Long",(H407-G407)*I407,(G407-H407)*I407))</f>
        <v/>
      </c>
      <c r="N407" s="6">
        <f>IF(OR(M407="",L407="",L407=0),"",M407/L407)</f>
        <v/>
      </c>
      <c r="O407">
        <f>IF(M407="","",IF(M407&gt;0,"Win",IF(M407&lt;0,"Loss","Scratch")))</f>
        <v/>
      </c>
    </row>
    <row r="408">
      <c r="A408" s="5" t="n"/>
      <c r="G408" s="6" t="n"/>
      <c r="H408" s="6" t="n"/>
      <c r="J408" s="6" t="n"/>
      <c r="K408" s="6" t="n"/>
      <c r="L408" s="7">
        <f>IF(OR(G408="",J408="",I408=""),"",ABS(G408-J408)*I408)</f>
        <v/>
      </c>
      <c r="M408" s="7">
        <f>IF(OR(G408="",H408="",I408="",F408=""),"",IF(F408="Long",(H408-G408)*I408,(G408-H408)*I408))</f>
        <v/>
      </c>
      <c r="N408" s="6">
        <f>IF(OR(M408="",L408="",L408=0),"",M408/L408)</f>
        <v/>
      </c>
      <c r="O408">
        <f>IF(M408="","",IF(M408&gt;0,"Win",IF(M408&lt;0,"Loss","Scratch")))</f>
        <v/>
      </c>
    </row>
    <row r="409">
      <c r="A409" s="5" t="n"/>
      <c r="G409" s="6" t="n"/>
      <c r="H409" s="6" t="n"/>
      <c r="J409" s="6" t="n"/>
      <c r="K409" s="6" t="n"/>
      <c r="L409" s="7">
        <f>IF(OR(G409="",J409="",I409=""),"",ABS(G409-J409)*I409)</f>
        <v/>
      </c>
      <c r="M409" s="7">
        <f>IF(OR(G409="",H409="",I409="",F409=""),"",IF(F409="Long",(H409-G409)*I409,(G409-H409)*I409))</f>
        <v/>
      </c>
      <c r="N409" s="6">
        <f>IF(OR(M409="",L409="",L409=0),"",M409/L409)</f>
        <v/>
      </c>
      <c r="O409">
        <f>IF(M409="","",IF(M409&gt;0,"Win",IF(M409&lt;0,"Loss","Scratch")))</f>
        <v/>
      </c>
    </row>
    <row r="410">
      <c r="A410" s="5" t="n"/>
      <c r="G410" s="6" t="n"/>
      <c r="H410" s="6" t="n"/>
      <c r="J410" s="6" t="n"/>
      <c r="K410" s="6" t="n"/>
      <c r="L410" s="7">
        <f>IF(OR(G410="",J410="",I410=""),"",ABS(G410-J410)*I410)</f>
        <v/>
      </c>
      <c r="M410" s="7">
        <f>IF(OR(G410="",H410="",I410="",F410=""),"",IF(F410="Long",(H410-G410)*I410,(G410-H410)*I410))</f>
        <v/>
      </c>
      <c r="N410" s="6">
        <f>IF(OR(M410="",L410="",L410=0),"",M410/L410)</f>
        <v/>
      </c>
      <c r="O410">
        <f>IF(M410="","",IF(M410&gt;0,"Win",IF(M410&lt;0,"Loss","Scratch")))</f>
        <v/>
      </c>
    </row>
    <row r="411">
      <c r="A411" s="5" t="n"/>
      <c r="G411" s="6" t="n"/>
      <c r="H411" s="6" t="n"/>
      <c r="J411" s="6" t="n"/>
      <c r="K411" s="6" t="n"/>
      <c r="L411" s="7">
        <f>IF(OR(G411="",J411="",I411=""),"",ABS(G411-J411)*I411)</f>
        <v/>
      </c>
      <c r="M411" s="7">
        <f>IF(OR(G411="",H411="",I411="",F411=""),"",IF(F411="Long",(H411-G411)*I411,(G411-H411)*I411))</f>
        <v/>
      </c>
      <c r="N411" s="6">
        <f>IF(OR(M411="",L411="",L411=0),"",M411/L411)</f>
        <v/>
      </c>
      <c r="O411">
        <f>IF(M411="","",IF(M411&gt;0,"Win",IF(M411&lt;0,"Loss","Scratch")))</f>
        <v/>
      </c>
    </row>
    <row r="412">
      <c r="A412" s="5" t="n"/>
      <c r="G412" s="6" t="n"/>
      <c r="H412" s="6" t="n"/>
      <c r="J412" s="6" t="n"/>
      <c r="K412" s="6" t="n"/>
      <c r="L412" s="7">
        <f>IF(OR(G412="",J412="",I412=""),"",ABS(G412-J412)*I412)</f>
        <v/>
      </c>
      <c r="M412" s="7">
        <f>IF(OR(G412="",H412="",I412="",F412=""),"",IF(F412="Long",(H412-G412)*I412,(G412-H412)*I412))</f>
        <v/>
      </c>
      <c r="N412" s="6">
        <f>IF(OR(M412="",L412="",L412=0),"",M412/L412)</f>
        <v/>
      </c>
      <c r="O412">
        <f>IF(M412="","",IF(M412&gt;0,"Win",IF(M412&lt;0,"Loss","Scratch")))</f>
        <v/>
      </c>
    </row>
    <row r="413">
      <c r="A413" s="5" t="n"/>
      <c r="G413" s="6" t="n"/>
      <c r="H413" s="6" t="n"/>
      <c r="J413" s="6" t="n"/>
      <c r="K413" s="6" t="n"/>
      <c r="L413" s="7">
        <f>IF(OR(G413="",J413="",I413=""),"",ABS(G413-J413)*I413)</f>
        <v/>
      </c>
      <c r="M413" s="7">
        <f>IF(OR(G413="",H413="",I413="",F413=""),"",IF(F413="Long",(H413-G413)*I413,(G413-H413)*I413))</f>
        <v/>
      </c>
      <c r="N413" s="6">
        <f>IF(OR(M413="",L413="",L413=0),"",M413/L413)</f>
        <v/>
      </c>
      <c r="O413">
        <f>IF(M413="","",IF(M413&gt;0,"Win",IF(M413&lt;0,"Loss","Scratch")))</f>
        <v/>
      </c>
    </row>
    <row r="414">
      <c r="A414" s="5" t="n"/>
      <c r="G414" s="6" t="n"/>
      <c r="H414" s="6" t="n"/>
      <c r="J414" s="6" t="n"/>
      <c r="K414" s="6" t="n"/>
      <c r="L414" s="7">
        <f>IF(OR(G414="",J414="",I414=""),"",ABS(G414-J414)*I414)</f>
        <v/>
      </c>
      <c r="M414" s="7">
        <f>IF(OR(G414="",H414="",I414="",F414=""),"",IF(F414="Long",(H414-G414)*I414,(G414-H414)*I414))</f>
        <v/>
      </c>
      <c r="N414" s="6">
        <f>IF(OR(M414="",L414="",L414=0),"",M414/L414)</f>
        <v/>
      </c>
      <c r="O414">
        <f>IF(M414="","",IF(M414&gt;0,"Win",IF(M414&lt;0,"Loss","Scratch")))</f>
        <v/>
      </c>
    </row>
    <row r="415">
      <c r="A415" s="5" t="n"/>
      <c r="G415" s="6" t="n"/>
      <c r="H415" s="6" t="n"/>
      <c r="J415" s="6" t="n"/>
      <c r="K415" s="6" t="n"/>
      <c r="L415" s="7">
        <f>IF(OR(G415="",J415="",I415=""),"",ABS(G415-J415)*I415)</f>
        <v/>
      </c>
      <c r="M415" s="7">
        <f>IF(OR(G415="",H415="",I415="",F415=""),"",IF(F415="Long",(H415-G415)*I415,(G415-H415)*I415))</f>
        <v/>
      </c>
      <c r="N415" s="6">
        <f>IF(OR(M415="",L415="",L415=0),"",M415/L415)</f>
        <v/>
      </c>
      <c r="O415">
        <f>IF(M415="","",IF(M415&gt;0,"Win",IF(M415&lt;0,"Loss","Scratch")))</f>
        <v/>
      </c>
    </row>
    <row r="416">
      <c r="A416" s="5" t="n"/>
      <c r="G416" s="6" t="n"/>
      <c r="H416" s="6" t="n"/>
      <c r="J416" s="6" t="n"/>
      <c r="K416" s="6" t="n"/>
      <c r="L416" s="7">
        <f>IF(OR(G416="",J416="",I416=""),"",ABS(G416-J416)*I416)</f>
        <v/>
      </c>
      <c r="M416" s="7">
        <f>IF(OR(G416="",H416="",I416="",F416=""),"",IF(F416="Long",(H416-G416)*I416,(G416-H416)*I416))</f>
        <v/>
      </c>
      <c r="N416" s="6">
        <f>IF(OR(M416="",L416="",L416=0),"",M416/L416)</f>
        <v/>
      </c>
      <c r="O416">
        <f>IF(M416="","",IF(M416&gt;0,"Win",IF(M416&lt;0,"Loss","Scratch")))</f>
        <v/>
      </c>
    </row>
    <row r="417">
      <c r="A417" s="5" t="n"/>
      <c r="G417" s="6" t="n"/>
      <c r="H417" s="6" t="n"/>
      <c r="J417" s="6" t="n"/>
      <c r="K417" s="6" t="n"/>
      <c r="L417" s="7">
        <f>IF(OR(G417="",J417="",I417=""),"",ABS(G417-J417)*I417)</f>
        <v/>
      </c>
      <c r="M417" s="7">
        <f>IF(OR(G417="",H417="",I417="",F417=""),"",IF(F417="Long",(H417-G417)*I417,(G417-H417)*I417))</f>
        <v/>
      </c>
      <c r="N417" s="6">
        <f>IF(OR(M417="",L417="",L417=0),"",M417/L417)</f>
        <v/>
      </c>
      <c r="O417">
        <f>IF(M417="","",IF(M417&gt;0,"Win",IF(M417&lt;0,"Loss","Scratch")))</f>
        <v/>
      </c>
    </row>
    <row r="418">
      <c r="A418" s="5" t="n"/>
      <c r="G418" s="6" t="n"/>
      <c r="H418" s="6" t="n"/>
      <c r="J418" s="6" t="n"/>
      <c r="K418" s="6" t="n"/>
      <c r="L418" s="7">
        <f>IF(OR(G418="",J418="",I418=""),"",ABS(G418-J418)*I418)</f>
        <v/>
      </c>
      <c r="M418" s="7">
        <f>IF(OR(G418="",H418="",I418="",F418=""),"",IF(F418="Long",(H418-G418)*I418,(G418-H418)*I418))</f>
        <v/>
      </c>
      <c r="N418" s="6">
        <f>IF(OR(M418="",L418="",L418=0),"",M418/L418)</f>
        <v/>
      </c>
      <c r="O418">
        <f>IF(M418="","",IF(M418&gt;0,"Win",IF(M418&lt;0,"Loss","Scratch")))</f>
        <v/>
      </c>
    </row>
    <row r="419">
      <c r="A419" s="5" t="n"/>
      <c r="G419" s="6" t="n"/>
      <c r="H419" s="6" t="n"/>
      <c r="J419" s="6" t="n"/>
      <c r="K419" s="6" t="n"/>
      <c r="L419" s="7">
        <f>IF(OR(G419="",J419="",I419=""),"",ABS(G419-J419)*I419)</f>
        <v/>
      </c>
      <c r="M419" s="7">
        <f>IF(OR(G419="",H419="",I419="",F419=""),"",IF(F419="Long",(H419-G419)*I419,(G419-H419)*I419))</f>
        <v/>
      </c>
      <c r="N419" s="6">
        <f>IF(OR(M419="",L419="",L419=0),"",M419/L419)</f>
        <v/>
      </c>
      <c r="O419">
        <f>IF(M419="","",IF(M419&gt;0,"Win",IF(M419&lt;0,"Loss","Scratch")))</f>
        <v/>
      </c>
    </row>
    <row r="420">
      <c r="A420" s="5" t="n"/>
      <c r="G420" s="6" t="n"/>
      <c r="H420" s="6" t="n"/>
      <c r="J420" s="6" t="n"/>
      <c r="K420" s="6" t="n"/>
      <c r="L420" s="7">
        <f>IF(OR(G420="",J420="",I420=""),"",ABS(G420-J420)*I420)</f>
        <v/>
      </c>
      <c r="M420" s="7">
        <f>IF(OR(G420="",H420="",I420="",F420=""),"",IF(F420="Long",(H420-G420)*I420,(G420-H420)*I420))</f>
        <v/>
      </c>
      <c r="N420" s="6">
        <f>IF(OR(M420="",L420="",L420=0),"",M420/L420)</f>
        <v/>
      </c>
      <c r="O420">
        <f>IF(M420="","",IF(M420&gt;0,"Win",IF(M420&lt;0,"Loss","Scratch")))</f>
        <v/>
      </c>
    </row>
    <row r="421">
      <c r="A421" s="5" t="n"/>
      <c r="G421" s="6" t="n"/>
      <c r="H421" s="6" t="n"/>
      <c r="J421" s="6" t="n"/>
      <c r="K421" s="6" t="n"/>
      <c r="L421" s="7">
        <f>IF(OR(G421="",J421="",I421=""),"",ABS(G421-J421)*I421)</f>
        <v/>
      </c>
      <c r="M421" s="7">
        <f>IF(OR(G421="",H421="",I421="",F421=""),"",IF(F421="Long",(H421-G421)*I421,(G421-H421)*I421))</f>
        <v/>
      </c>
      <c r="N421" s="6">
        <f>IF(OR(M421="",L421="",L421=0),"",M421/L421)</f>
        <v/>
      </c>
      <c r="O421">
        <f>IF(M421="","",IF(M421&gt;0,"Win",IF(M421&lt;0,"Loss","Scratch")))</f>
        <v/>
      </c>
    </row>
    <row r="422">
      <c r="A422" s="5" t="n"/>
      <c r="G422" s="6" t="n"/>
      <c r="H422" s="6" t="n"/>
      <c r="J422" s="6" t="n"/>
      <c r="K422" s="6" t="n"/>
      <c r="L422" s="7">
        <f>IF(OR(G422="",J422="",I422=""),"",ABS(G422-J422)*I422)</f>
        <v/>
      </c>
      <c r="M422" s="7">
        <f>IF(OR(G422="",H422="",I422="",F422=""),"",IF(F422="Long",(H422-G422)*I422,(G422-H422)*I422))</f>
        <v/>
      </c>
      <c r="N422" s="6">
        <f>IF(OR(M422="",L422="",L422=0),"",M422/L422)</f>
        <v/>
      </c>
      <c r="O422">
        <f>IF(M422="","",IF(M422&gt;0,"Win",IF(M422&lt;0,"Loss","Scratch")))</f>
        <v/>
      </c>
    </row>
    <row r="423">
      <c r="A423" s="5" t="n"/>
      <c r="G423" s="6" t="n"/>
      <c r="H423" s="6" t="n"/>
      <c r="J423" s="6" t="n"/>
      <c r="K423" s="6" t="n"/>
      <c r="L423" s="7">
        <f>IF(OR(G423="",J423="",I423=""),"",ABS(G423-J423)*I423)</f>
        <v/>
      </c>
      <c r="M423" s="7">
        <f>IF(OR(G423="",H423="",I423="",F423=""),"",IF(F423="Long",(H423-G423)*I423,(G423-H423)*I423))</f>
        <v/>
      </c>
      <c r="N423" s="6">
        <f>IF(OR(M423="",L423="",L423=0),"",M423/L423)</f>
        <v/>
      </c>
      <c r="O423">
        <f>IF(M423="","",IF(M423&gt;0,"Win",IF(M423&lt;0,"Loss","Scratch")))</f>
        <v/>
      </c>
    </row>
    <row r="424">
      <c r="A424" s="5" t="n"/>
      <c r="G424" s="6" t="n"/>
      <c r="H424" s="6" t="n"/>
      <c r="J424" s="6" t="n"/>
      <c r="K424" s="6" t="n"/>
      <c r="L424" s="7">
        <f>IF(OR(G424="",J424="",I424=""),"",ABS(G424-J424)*I424)</f>
        <v/>
      </c>
      <c r="M424" s="7">
        <f>IF(OR(G424="",H424="",I424="",F424=""),"",IF(F424="Long",(H424-G424)*I424,(G424-H424)*I424))</f>
        <v/>
      </c>
      <c r="N424" s="6">
        <f>IF(OR(M424="",L424="",L424=0),"",M424/L424)</f>
        <v/>
      </c>
      <c r="O424">
        <f>IF(M424="","",IF(M424&gt;0,"Win",IF(M424&lt;0,"Loss","Scratch")))</f>
        <v/>
      </c>
    </row>
    <row r="425">
      <c r="A425" s="5" t="n"/>
      <c r="G425" s="6" t="n"/>
      <c r="H425" s="6" t="n"/>
      <c r="J425" s="6" t="n"/>
      <c r="K425" s="6" t="n"/>
      <c r="L425" s="7">
        <f>IF(OR(G425="",J425="",I425=""),"",ABS(G425-J425)*I425)</f>
        <v/>
      </c>
      <c r="M425" s="7">
        <f>IF(OR(G425="",H425="",I425="",F425=""),"",IF(F425="Long",(H425-G425)*I425,(G425-H425)*I425))</f>
        <v/>
      </c>
      <c r="N425" s="6">
        <f>IF(OR(M425="",L425="",L425=0),"",M425/L425)</f>
        <v/>
      </c>
      <c r="O425">
        <f>IF(M425="","",IF(M425&gt;0,"Win",IF(M425&lt;0,"Loss","Scratch")))</f>
        <v/>
      </c>
    </row>
    <row r="426">
      <c r="A426" s="5" t="n"/>
      <c r="G426" s="6" t="n"/>
      <c r="H426" s="6" t="n"/>
      <c r="J426" s="6" t="n"/>
      <c r="K426" s="6" t="n"/>
      <c r="L426" s="7">
        <f>IF(OR(G426="",J426="",I426=""),"",ABS(G426-J426)*I426)</f>
        <v/>
      </c>
      <c r="M426" s="7">
        <f>IF(OR(G426="",H426="",I426="",F426=""),"",IF(F426="Long",(H426-G426)*I426,(G426-H426)*I426))</f>
        <v/>
      </c>
      <c r="N426" s="6">
        <f>IF(OR(M426="",L426="",L426=0),"",M426/L426)</f>
        <v/>
      </c>
      <c r="O426">
        <f>IF(M426="","",IF(M426&gt;0,"Win",IF(M426&lt;0,"Loss","Scratch")))</f>
        <v/>
      </c>
    </row>
    <row r="427">
      <c r="A427" s="5" t="n"/>
      <c r="G427" s="6" t="n"/>
      <c r="H427" s="6" t="n"/>
      <c r="J427" s="6" t="n"/>
      <c r="K427" s="6" t="n"/>
      <c r="L427" s="7">
        <f>IF(OR(G427="",J427="",I427=""),"",ABS(G427-J427)*I427)</f>
        <v/>
      </c>
      <c r="M427" s="7">
        <f>IF(OR(G427="",H427="",I427="",F427=""),"",IF(F427="Long",(H427-G427)*I427,(G427-H427)*I427))</f>
        <v/>
      </c>
      <c r="N427" s="6">
        <f>IF(OR(M427="",L427="",L427=0),"",M427/L427)</f>
        <v/>
      </c>
      <c r="O427">
        <f>IF(M427="","",IF(M427&gt;0,"Win",IF(M427&lt;0,"Loss","Scratch")))</f>
        <v/>
      </c>
    </row>
    <row r="428">
      <c r="A428" s="5" t="n"/>
      <c r="G428" s="6" t="n"/>
      <c r="H428" s="6" t="n"/>
      <c r="J428" s="6" t="n"/>
      <c r="K428" s="6" t="n"/>
      <c r="L428" s="7">
        <f>IF(OR(G428="",J428="",I428=""),"",ABS(G428-J428)*I428)</f>
        <v/>
      </c>
      <c r="M428" s="7">
        <f>IF(OR(G428="",H428="",I428="",F428=""),"",IF(F428="Long",(H428-G428)*I428,(G428-H428)*I428))</f>
        <v/>
      </c>
      <c r="N428" s="6">
        <f>IF(OR(M428="",L428="",L428=0),"",M428/L428)</f>
        <v/>
      </c>
      <c r="O428">
        <f>IF(M428="","",IF(M428&gt;0,"Win",IF(M428&lt;0,"Loss","Scratch")))</f>
        <v/>
      </c>
    </row>
    <row r="429">
      <c r="A429" s="5" t="n"/>
      <c r="G429" s="6" t="n"/>
      <c r="H429" s="6" t="n"/>
      <c r="J429" s="6" t="n"/>
      <c r="K429" s="6" t="n"/>
      <c r="L429" s="7">
        <f>IF(OR(G429="",J429="",I429=""),"",ABS(G429-J429)*I429)</f>
        <v/>
      </c>
      <c r="M429" s="7">
        <f>IF(OR(G429="",H429="",I429="",F429=""),"",IF(F429="Long",(H429-G429)*I429,(G429-H429)*I429))</f>
        <v/>
      </c>
      <c r="N429" s="6">
        <f>IF(OR(M429="",L429="",L429=0),"",M429/L429)</f>
        <v/>
      </c>
      <c r="O429">
        <f>IF(M429="","",IF(M429&gt;0,"Win",IF(M429&lt;0,"Loss","Scratch")))</f>
        <v/>
      </c>
    </row>
    <row r="430">
      <c r="A430" s="5" t="n"/>
      <c r="G430" s="6" t="n"/>
      <c r="H430" s="6" t="n"/>
      <c r="J430" s="6" t="n"/>
      <c r="K430" s="6" t="n"/>
      <c r="L430" s="7">
        <f>IF(OR(G430="",J430="",I430=""),"",ABS(G430-J430)*I430)</f>
        <v/>
      </c>
      <c r="M430" s="7">
        <f>IF(OR(G430="",H430="",I430="",F430=""),"",IF(F430="Long",(H430-G430)*I430,(G430-H430)*I430))</f>
        <v/>
      </c>
      <c r="N430" s="6">
        <f>IF(OR(M430="",L430="",L430=0),"",M430/L430)</f>
        <v/>
      </c>
      <c r="O430">
        <f>IF(M430="","",IF(M430&gt;0,"Win",IF(M430&lt;0,"Loss","Scratch")))</f>
        <v/>
      </c>
    </row>
    <row r="431">
      <c r="A431" s="5" t="n"/>
      <c r="G431" s="6" t="n"/>
      <c r="H431" s="6" t="n"/>
      <c r="J431" s="6" t="n"/>
      <c r="K431" s="6" t="n"/>
      <c r="L431" s="7">
        <f>IF(OR(G431="",J431="",I431=""),"",ABS(G431-J431)*I431)</f>
        <v/>
      </c>
      <c r="M431" s="7">
        <f>IF(OR(G431="",H431="",I431="",F431=""),"",IF(F431="Long",(H431-G431)*I431,(G431-H431)*I431))</f>
        <v/>
      </c>
      <c r="N431" s="6">
        <f>IF(OR(M431="",L431="",L431=0),"",M431/L431)</f>
        <v/>
      </c>
      <c r="O431">
        <f>IF(M431="","",IF(M431&gt;0,"Win",IF(M431&lt;0,"Loss","Scratch")))</f>
        <v/>
      </c>
    </row>
    <row r="432">
      <c r="A432" s="5" t="n"/>
      <c r="G432" s="6" t="n"/>
      <c r="H432" s="6" t="n"/>
      <c r="J432" s="6" t="n"/>
      <c r="K432" s="6" t="n"/>
      <c r="L432" s="7">
        <f>IF(OR(G432="",J432="",I432=""),"",ABS(G432-J432)*I432)</f>
        <v/>
      </c>
      <c r="M432" s="7">
        <f>IF(OR(G432="",H432="",I432="",F432=""),"",IF(F432="Long",(H432-G432)*I432,(G432-H432)*I432))</f>
        <v/>
      </c>
      <c r="N432" s="6">
        <f>IF(OR(M432="",L432="",L432=0),"",M432/L432)</f>
        <v/>
      </c>
      <c r="O432">
        <f>IF(M432="","",IF(M432&gt;0,"Win",IF(M432&lt;0,"Loss","Scratch")))</f>
        <v/>
      </c>
    </row>
    <row r="433">
      <c r="A433" s="5" t="n"/>
      <c r="G433" s="6" t="n"/>
      <c r="H433" s="6" t="n"/>
      <c r="J433" s="6" t="n"/>
      <c r="K433" s="6" t="n"/>
      <c r="L433" s="7">
        <f>IF(OR(G433="",J433="",I433=""),"",ABS(G433-J433)*I433)</f>
        <v/>
      </c>
      <c r="M433" s="7">
        <f>IF(OR(G433="",H433="",I433="",F433=""),"",IF(F433="Long",(H433-G433)*I433,(G433-H433)*I433))</f>
        <v/>
      </c>
      <c r="N433" s="6">
        <f>IF(OR(M433="",L433="",L433=0),"",M433/L433)</f>
        <v/>
      </c>
      <c r="O433">
        <f>IF(M433="","",IF(M433&gt;0,"Win",IF(M433&lt;0,"Loss","Scratch")))</f>
        <v/>
      </c>
    </row>
    <row r="434">
      <c r="A434" s="5" t="n"/>
      <c r="G434" s="6" t="n"/>
      <c r="H434" s="6" t="n"/>
      <c r="J434" s="6" t="n"/>
      <c r="K434" s="6" t="n"/>
      <c r="L434" s="7">
        <f>IF(OR(G434="",J434="",I434=""),"",ABS(G434-J434)*I434)</f>
        <v/>
      </c>
      <c r="M434" s="7">
        <f>IF(OR(G434="",H434="",I434="",F434=""),"",IF(F434="Long",(H434-G434)*I434,(G434-H434)*I434))</f>
        <v/>
      </c>
      <c r="N434" s="6">
        <f>IF(OR(M434="",L434="",L434=0),"",M434/L434)</f>
        <v/>
      </c>
      <c r="O434">
        <f>IF(M434="","",IF(M434&gt;0,"Win",IF(M434&lt;0,"Loss","Scratch")))</f>
        <v/>
      </c>
    </row>
    <row r="435">
      <c r="A435" s="5" t="n"/>
      <c r="G435" s="6" t="n"/>
      <c r="H435" s="6" t="n"/>
      <c r="J435" s="6" t="n"/>
      <c r="K435" s="6" t="n"/>
      <c r="L435" s="7">
        <f>IF(OR(G435="",J435="",I435=""),"",ABS(G435-J435)*I435)</f>
        <v/>
      </c>
      <c r="M435" s="7">
        <f>IF(OR(G435="",H435="",I435="",F435=""),"",IF(F435="Long",(H435-G435)*I435,(G435-H435)*I435))</f>
        <v/>
      </c>
      <c r="N435" s="6">
        <f>IF(OR(M435="",L435="",L435=0),"",M435/L435)</f>
        <v/>
      </c>
      <c r="O435">
        <f>IF(M435="","",IF(M435&gt;0,"Win",IF(M435&lt;0,"Loss","Scratch")))</f>
        <v/>
      </c>
    </row>
    <row r="436">
      <c r="A436" s="5" t="n"/>
      <c r="G436" s="6" t="n"/>
      <c r="H436" s="6" t="n"/>
      <c r="J436" s="6" t="n"/>
      <c r="K436" s="6" t="n"/>
      <c r="L436" s="7">
        <f>IF(OR(G436="",J436="",I436=""),"",ABS(G436-J436)*I436)</f>
        <v/>
      </c>
      <c r="M436" s="7">
        <f>IF(OR(G436="",H436="",I436="",F436=""),"",IF(F436="Long",(H436-G436)*I436,(G436-H436)*I436))</f>
        <v/>
      </c>
      <c r="N436" s="6">
        <f>IF(OR(M436="",L436="",L436=0),"",M436/L436)</f>
        <v/>
      </c>
      <c r="O436">
        <f>IF(M436="","",IF(M436&gt;0,"Win",IF(M436&lt;0,"Loss","Scratch")))</f>
        <v/>
      </c>
    </row>
    <row r="437">
      <c r="A437" s="5" t="n"/>
      <c r="G437" s="6" t="n"/>
      <c r="H437" s="6" t="n"/>
      <c r="J437" s="6" t="n"/>
      <c r="K437" s="6" t="n"/>
      <c r="L437" s="7">
        <f>IF(OR(G437="",J437="",I437=""),"",ABS(G437-J437)*I437)</f>
        <v/>
      </c>
      <c r="M437" s="7">
        <f>IF(OR(G437="",H437="",I437="",F437=""),"",IF(F437="Long",(H437-G437)*I437,(G437-H437)*I437))</f>
        <v/>
      </c>
      <c r="N437" s="6">
        <f>IF(OR(M437="",L437="",L437=0),"",M437/L437)</f>
        <v/>
      </c>
      <c r="O437">
        <f>IF(M437="","",IF(M437&gt;0,"Win",IF(M437&lt;0,"Loss","Scratch")))</f>
        <v/>
      </c>
    </row>
    <row r="438">
      <c r="A438" s="5" t="n"/>
      <c r="G438" s="6" t="n"/>
      <c r="H438" s="6" t="n"/>
      <c r="J438" s="6" t="n"/>
      <c r="K438" s="6" t="n"/>
      <c r="L438" s="7">
        <f>IF(OR(G438="",J438="",I438=""),"",ABS(G438-J438)*I438)</f>
        <v/>
      </c>
      <c r="M438" s="7">
        <f>IF(OR(G438="",H438="",I438="",F438=""),"",IF(F438="Long",(H438-G438)*I438,(G438-H438)*I438))</f>
        <v/>
      </c>
      <c r="N438" s="6">
        <f>IF(OR(M438="",L438="",L438=0),"",M438/L438)</f>
        <v/>
      </c>
      <c r="O438">
        <f>IF(M438="","",IF(M438&gt;0,"Win",IF(M438&lt;0,"Loss","Scratch")))</f>
        <v/>
      </c>
    </row>
    <row r="439">
      <c r="A439" s="5" t="n"/>
      <c r="G439" s="6" t="n"/>
      <c r="H439" s="6" t="n"/>
      <c r="J439" s="6" t="n"/>
      <c r="K439" s="6" t="n"/>
      <c r="L439" s="7">
        <f>IF(OR(G439="",J439="",I439=""),"",ABS(G439-J439)*I439)</f>
        <v/>
      </c>
      <c r="M439" s="7">
        <f>IF(OR(G439="",H439="",I439="",F439=""),"",IF(F439="Long",(H439-G439)*I439,(G439-H439)*I439))</f>
        <v/>
      </c>
      <c r="N439" s="6">
        <f>IF(OR(M439="",L439="",L439=0),"",M439/L439)</f>
        <v/>
      </c>
      <c r="O439">
        <f>IF(M439="","",IF(M439&gt;0,"Win",IF(M439&lt;0,"Loss","Scratch")))</f>
        <v/>
      </c>
    </row>
    <row r="440">
      <c r="A440" s="5" t="n"/>
      <c r="G440" s="6" t="n"/>
      <c r="H440" s="6" t="n"/>
      <c r="J440" s="6" t="n"/>
      <c r="K440" s="6" t="n"/>
      <c r="L440" s="7">
        <f>IF(OR(G440="",J440="",I440=""),"",ABS(G440-J440)*I440)</f>
        <v/>
      </c>
      <c r="M440" s="7">
        <f>IF(OR(G440="",H440="",I440="",F440=""),"",IF(F440="Long",(H440-G440)*I440,(G440-H440)*I440))</f>
        <v/>
      </c>
      <c r="N440" s="6">
        <f>IF(OR(M440="",L440="",L440=0),"",M440/L440)</f>
        <v/>
      </c>
      <c r="O440">
        <f>IF(M440="","",IF(M440&gt;0,"Win",IF(M440&lt;0,"Loss","Scratch")))</f>
        <v/>
      </c>
    </row>
    <row r="441">
      <c r="A441" s="5" t="n"/>
      <c r="G441" s="6" t="n"/>
      <c r="H441" s="6" t="n"/>
      <c r="J441" s="6" t="n"/>
      <c r="K441" s="6" t="n"/>
      <c r="L441" s="7">
        <f>IF(OR(G441="",J441="",I441=""),"",ABS(G441-J441)*I441)</f>
        <v/>
      </c>
      <c r="M441" s="7">
        <f>IF(OR(G441="",H441="",I441="",F441=""),"",IF(F441="Long",(H441-G441)*I441,(G441-H441)*I441))</f>
        <v/>
      </c>
      <c r="N441" s="6">
        <f>IF(OR(M441="",L441="",L441=0),"",M441/L441)</f>
        <v/>
      </c>
      <c r="O441">
        <f>IF(M441="","",IF(M441&gt;0,"Win",IF(M441&lt;0,"Loss","Scratch")))</f>
        <v/>
      </c>
    </row>
    <row r="442">
      <c r="A442" s="5" t="n"/>
      <c r="G442" s="6" t="n"/>
      <c r="H442" s="6" t="n"/>
      <c r="J442" s="6" t="n"/>
      <c r="K442" s="6" t="n"/>
      <c r="L442" s="7">
        <f>IF(OR(G442="",J442="",I442=""),"",ABS(G442-J442)*I442)</f>
        <v/>
      </c>
      <c r="M442" s="7">
        <f>IF(OR(G442="",H442="",I442="",F442=""),"",IF(F442="Long",(H442-G442)*I442,(G442-H442)*I442))</f>
        <v/>
      </c>
      <c r="N442" s="6">
        <f>IF(OR(M442="",L442="",L442=0),"",M442/L442)</f>
        <v/>
      </c>
      <c r="O442">
        <f>IF(M442="","",IF(M442&gt;0,"Win",IF(M442&lt;0,"Loss","Scratch")))</f>
        <v/>
      </c>
    </row>
    <row r="443">
      <c r="A443" s="5" t="n"/>
      <c r="G443" s="6" t="n"/>
      <c r="H443" s="6" t="n"/>
      <c r="J443" s="6" t="n"/>
      <c r="K443" s="6" t="n"/>
      <c r="L443" s="7">
        <f>IF(OR(G443="",J443="",I443=""),"",ABS(G443-J443)*I443)</f>
        <v/>
      </c>
      <c r="M443" s="7">
        <f>IF(OR(G443="",H443="",I443="",F443=""),"",IF(F443="Long",(H443-G443)*I443,(G443-H443)*I443))</f>
        <v/>
      </c>
      <c r="N443" s="6">
        <f>IF(OR(M443="",L443="",L443=0),"",M443/L443)</f>
        <v/>
      </c>
      <c r="O443">
        <f>IF(M443="","",IF(M443&gt;0,"Win",IF(M443&lt;0,"Loss","Scratch")))</f>
        <v/>
      </c>
    </row>
    <row r="444">
      <c r="A444" s="5" t="n"/>
      <c r="G444" s="6" t="n"/>
      <c r="H444" s="6" t="n"/>
      <c r="J444" s="6" t="n"/>
      <c r="K444" s="6" t="n"/>
      <c r="L444" s="7">
        <f>IF(OR(G444="",J444="",I444=""),"",ABS(G444-J444)*I444)</f>
        <v/>
      </c>
      <c r="M444" s="7">
        <f>IF(OR(G444="",H444="",I444="",F444=""),"",IF(F444="Long",(H444-G444)*I444,(G444-H444)*I444))</f>
        <v/>
      </c>
      <c r="N444" s="6">
        <f>IF(OR(M444="",L444="",L444=0),"",M444/L444)</f>
        <v/>
      </c>
      <c r="O444">
        <f>IF(M444="","",IF(M444&gt;0,"Win",IF(M444&lt;0,"Loss","Scratch")))</f>
        <v/>
      </c>
    </row>
    <row r="445">
      <c r="A445" s="5" t="n"/>
      <c r="G445" s="6" t="n"/>
      <c r="H445" s="6" t="n"/>
      <c r="J445" s="6" t="n"/>
      <c r="K445" s="6" t="n"/>
      <c r="L445" s="7">
        <f>IF(OR(G445="",J445="",I445=""),"",ABS(G445-J445)*I445)</f>
        <v/>
      </c>
      <c r="M445" s="7">
        <f>IF(OR(G445="",H445="",I445="",F445=""),"",IF(F445="Long",(H445-G445)*I445,(G445-H445)*I445))</f>
        <v/>
      </c>
      <c r="N445" s="6">
        <f>IF(OR(M445="",L445="",L445=0),"",M445/L445)</f>
        <v/>
      </c>
      <c r="O445">
        <f>IF(M445="","",IF(M445&gt;0,"Win",IF(M445&lt;0,"Loss","Scratch")))</f>
        <v/>
      </c>
    </row>
    <row r="446">
      <c r="A446" s="5" t="n"/>
      <c r="G446" s="6" t="n"/>
      <c r="H446" s="6" t="n"/>
      <c r="J446" s="6" t="n"/>
      <c r="K446" s="6" t="n"/>
      <c r="L446" s="7">
        <f>IF(OR(G446="",J446="",I446=""),"",ABS(G446-J446)*I446)</f>
        <v/>
      </c>
      <c r="M446" s="7">
        <f>IF(OR(G446="",H446="",I446="",F446=""),"",IF(F446="Long",(H446-G446)*I446,(G446-H446)*I446))</f>
        <v/>
      </c>
      <c r="N446" s="6">
        <f>IF(OR(M446="",L446="",L446=0),"",M446/L446)</f>
        <v/>
      </c>
      <c r="O446">
        <f>IF(M446="","",IF(M446&gt;0,"Win",IF(M446&lt;0,"Loss","Scratch")))</f>
        <v/>
      </c>
    </row>
    <row r="447">
      <c r="A447" s="5" t="n"/>
      <c r="G447" s="6" t="n"/>
      <c r="H447" s="6" t="n"/>
      <c r="J447" s="6" t="n"/>
      <c r="K447" s="6" t="n"/>
      <c r="L447" s="7">
        <f>IF(OR(G447="",J447="",I447=""),"",ABS(G447-J447)*I447)</f>
        <v/>
      </c>
      <c r="M447" s="7">
        <f>IF(OR(G447="",H447="",I447="",F447=""),"",IF(F447="Long",(H447-G447)*I447,(G447-H447)*I447))</f>
        <v/>
      </c>
      <c r="N447" s="6">
        <f>IF(OR(M447="",L447="",L447=0),"",M447/L447)</f>
        <v/>
      </c>
      <c r="O447">
        <f>IF(M447="","",IF(M447&gt;0,"Win",IF(M447&lt;0,"Loss","Scratch")))</f>
        <v/>
      </c>
    </row>
    <row r="448">
      <c r="A448" s="5" t="n"/>
      <c r="G448" s="6" t="n"/>
      <c r="H448" s="6" t="n"/>
      <c r="J448" s="6" t="n"/>
      <c r="K448" s="6" t="n"/>
      <c r="L448" s="7">
        <f>IF(OR(G448="",J448="",I448=""),"",ABS(G448-J448)*I448)</f>
        <v/>
      </c>
      <c r="M448" s="7">
        <f>IF(OR(G448="",H448="",I448="",F448=""),"",IF(F448="Long",(H448-G448)*I448,(G448-H448)*I448))</f>
        <v/>
      </c>
      <c r="N448" s="6">
        <f>IF(OR(M448="",L448="",L448=0),"",M448/L448)</f>
        <v/>
      </c>
      <c r="O448">
        <f>IF(M448="","",IF(M448&gt;0,"Win",IF(M448&lt;0,"Loss","Scratch")))</f>
        <v/>
      </c>
    </row>
    <row r="449">
      <c r="A449" s="5" t="n"/>
      <c r="G449" s="6" t="n"/>
      <c r="H449" s="6" t="n"/>
      <c r="J449" s="6" t="n"/>
      <c r="K449" s="6" t="n"/>
      <c r="L449" s="7">
        <f>IF(OR(G449="",J449="",I449=""),"",ABS(G449-J449)*I449)</f>
        <v/>
      </c>
      <c r="M449" s="7">
        <f>IF(OR(G449="",H449="",I449="",F449=""),"",IF(F449="Long",(H449-G449)*I449,(G449-H449)*I449))</f>
        <v/>
      </c>
      <c r="N449" s="6">
        <f>IF(OR(M449="",L449="",L449=0),"",M449/L449)</f>
        <v/>
      </c>
      <c r="O449">
        <f>IF(M449="","",IF(M449&gt;0,"Win",IF(M449&lt;0,"Loss","Scratch")))</f>
        <v/>
      </c>
    </row>
    <row r="450">
      <c r="A450" s="5" t="n"/>
      <c r="G450" s="6" t="n"/>
      <c r="H450" s="6" t="n"/>
      <c r="J450" s="6" t="n"/>
      <c r="K450" s="6" t="n"/>
      <c r="L450" s="7">
        <f>IF(OR(G450="",J450="",I450=""),"",ABS(G450-J450)*I450)</f>
        <v/>
      </c>
      <c r="M450" s="7">
        <f>IF(OR(G450="",H450="",I450="",F450=""),"",IF(F450="Long",(H450-G450)*I450,(G450-H450)*I450))</f>
        <v/>
      </c>
      <c r="N450" s="6">
        <f>IF(OR(M450="",L450="",L450=0),"",M450/L450)</f>
        <v/>
      </c>
      <c r="O450">
        <f>IF(M450="","",IF(M450&gt;0,"Win",IF(M450&lt;0,"Loss","Scratch")))</f>
        <v/>
      </c>
    </row>
    <row r="451">
      <c r="A451" s="5" t="n"/>
      <c r="G451" s="6" t="n"/>
      <c r="H451" s="6" t="n"/>
      <c r="J451" s="6" t="n"/>
      <c r="K451" s="6" t="n"/>
      <c r="L451" s="7">
        <f>IF(OR(G451="",J451="",I451=""),"",ABS(G451-J451)*I451)</f>
        <v/>
      </c>
      <c r="M451" s="7">
        <f>IF(OR(G451="",H451="",I451="",F451=""),"",IF(F451="Long",(H451-G451)*I451,(G451-H451)*I451))</f>
        <v/>
      </c>
      <c r="N451" s="6">
        <f>IF(OR(M451="",L451="",L451=0),"",M451/L451)</f>
        <v/>
      </c>
      <c r="O451">
        <f>IF(M451="","",IF(M451&gt;0,"Win",IF(M451&lt;0,"Loss","Scratch")))</f>
        <v/>
      </c>
    </row>
    <row r="452">
      <c r="A452" s="5" t="n"/>
      <c r="G452" s="6" t="n"/>
      <c r="H452" s="6" t="n"/>
      <c r="J452" s="6" t="n"/>
      <c r="K452" s="6" t="n"/>
      <c r="L452" s="7">
        <f>IF(OR(G452="",J452="",I452=""),"",ABS(G452-J452)*I452)</f>
        <v/>
      </c>
      <c r="M452" s="7">
        <f>IF(OR(G452="",H452="",I452="",F452=""),"",IF(F452="Long",(H452-G452)*I452,(G452-H452)*I452))</f>
        <v/>
      </c>
      <c r="N452" s="6">
        <f>IF(OR(M452="",L452="",L452=0),"",M452/L452)</f>
        <v/>
      </c>
      <c r="O452">
        <f>IF(M452="","",IF(M452&gt;0,"Win",IF(M452&lt;0,"Loss","Scratch")))</f>
        <v/>
      </c>
    </row>
    <row r="453">
      <c r="A453" s="5" t="n"/>
      <c r="G453" s="6" t="n"/>
      <c r="H453" s="6" t="n"/>
      <c r="J453" s="6" t="n"/>
      <c r="K453" s="6" t="n"/>
      <c r="L453" s="7">
        <f>IF(OR(G453="",J453="",I453=""),"",ABS(G453-J453)*I453)</f>
        <v/>
      </c>
      <c r="M453" s="7">
        <f>IF(OR(G453="",H453="",I453="",F453=""),"",IF(F453="Long",(H453-G453)*I453,(G453-H453)*I453))</f>
        <v/>
      </c>
      <c r="N453" s="6">
        <f>IF(OR(M453="",L453="",L453=0),"",M453/L453)</f>
        <v/>
      </c>
      <c r="O453">
        <f>IF(M453="","",IF(M453&gt;0,"Win",IF(M453&lt;0,"Loss","Scratch")))</f>
        <v/>
      </c>
    </row>
    <row r="454">
      <c r="A454" s="5" t="n"/>
      <c r="G454" s="6" t="n"/>
      <c r="H454" s="6" t="n"/>
      <c r="J454" s="6" t="n"/>
      <c r="K454" s="6" t="n"/>
      <c r="L454" s="7">
        <f>IF(OR(G454="",J454="",I454=""),"",ABS(G454-J454)*I454)</f>
        <v/>
      </c>
      <c r="M454" s="7">
        <f>IF(OR(G454="",H454="",I454="",F454=""),"",IF(F454="Long",(H454-G454)*I454,(G454-H454)*I454))</f>
        <v/>
      </c>
      <c r="N454" s="6">
        <f>IF(OR(M454="",L454="",L454=0),"",M454/L454)</f>
        <v/>
      </c>
      <c r="O454">
        <f>IF(M454="","",IF(M454&gt;0,"Win",IF(M454&lt;0,"Loss","Scratch")))</f>
        <v/>
      </c>
    </row>
    <row r="455">
      <c r="A455" s="5" t="n"/>
      <c r="G455" s="6" t="n"/>
      <c r="H455" s="6" t="n"/>
      <c r="J455" s="6" t="n"/>
      <c r="K455" s="6" t="n"/>
      <c r="L455" s="7">
        <f>IF(OR(G455="",J455="",I455=""),"",ABS(G455-J455)*I455)</f>
        <v/>
      </c>
      <c r="M455" s="7">
        <f>IF(OR(G455="",H455="",I455="",F455=""),"",IF(F455="Long",(H455-G455)*I455,(G455-H455)*I455))</f>
        <v/>
      </c>
      <c r="N455" s="6">
        <f>IF(OR(M455="",L455="",L455=0),"",M455/L455)</f>
        <v/>
      </c>
      <c r="O455">
        <f>IF(M455="","",IF(M455&gt;0,"Win",IF(M455&lt;0,"Loss","Scratch")))</f>
        <v/>
      </c>
    </row>
    <row r="456">
      <c r="A456" s="5" t="n"/>
      <c r="G456" s="6" t="n"/>
      <c r="H456" s="6" t="n"/>
      <c r="J456" s="6" t="n"/>
      <c r="K456" s="6" t="n"/>
      <c r="L456" s="7">
        <f>IF(OR(G456="",J456="",I456=""),"",ABS(G456-J456)*I456)</f>
        <v/>
      </c>
      <c r="M456" s="7">
        <f>IF(OR(G456="",H456="",I456="",F456=""),"",IF(F456="Long",(H456-G456)*I456,(G456-H456)*I456))</f>
        <v/>
      </c>
      <c r="N456" s="6">
        <f>IF(OR(M456="",L456="",L456=0),"",M456/L456)</f>
        <v/>
      </c>
      <c r="O456">
        <f>IF(M456="","",IF(M456&gt;0,"Win",IF(M456&lt;0,"Loss","Scratch")))</f>
        <v/>
      </c>
    </row>
    <row r="457">
      <c r="A457" s="5" t="n"/>
      <c r="G457" s="6" t="n"/>
      <c r="H457" s="6" t="n"/>
      <c r="J457" s="6" t="n"/>
      <c r="K457" s="6" t="n"/>
      <c r="L457" s="7">
        <f>IF(OR(G457="",J457="",I457=""),"",ABS(G457-J457)*I457)</f>
        <v/>
      </c>
      <c r="M457" s="7">
        <f>IF(OR(G457="",H457="",I457="",F457=""),"",IF(F457="Long",(H457-G457)*I457,(G457-H457)*I457))</f>
        <v/>
      </c>
      <c r="N457" s="6">
        <f>IF(OR(M457="",L457="",L457=0),"",M457/L457)</f>
        <v/>
      </c>
      <c r="O457">
        <f>IF(M457="","",IF(M457&gt;0,"Win",IF(M457&lt;0,"Loss","Scratch")))</f>
        <v/>
      </c>
    </row>
    <row r="458">
      <c r="A458" s="5" t="n"/>
      <c r="G458" s="6" t="n"/>
      <c r="H458" s="6" t="n"/>
      <c r="J458" s="6" t="n"/>
      <c r="K458" s="6" t="n"/>
      <c r="L458" s="7">
        <f>IF(OR(G458="",J458="",I458=""),"",ABS(G458-J458)*I458)</f>
        <v/>
      </c>
      <c r="M458" s="7">
        <f>IF(OR(G458="",H458="",I458="",F458=""),"",IF(F458="Long",(H458-G458)*I458,(G458-H458)*I458))</f>
        <v/>
      </c>
      <c r="N458" s="6">
        <f>IF(OR(M458="",L458="",L458=0),"",M458/L458)</f>
        <v/>
      </c>
      <c r="O458">
        <f>IF(M458="","",IF(M458&gt;0,"Win",IF(M458&lt;0,"Loss","Scratch")))</f>
        <v/>
      </c>
    </row>
    <row r="459">
      <c r="A459" s="5" t="n"/>
      <c r="G459" s="6" t="n"/>
      <c r="H459" s="6" t="n"/>
      <c r="J459" s="6" t="n"/>
      <c r="K459" s="6" t="n"/>
      <c r="L459" s="7">
        <f>IF(OR(G459="",J459="",I459=""),"",ABS(G459-J459)*I459)</f>
        <v/>
      </c>
      <c r="M459" s="7">
        <f>IF(OR(G459="",H459="",I459="",F459=""),"",IF(F459="Long",(H459-G459)*I459,(G459-H459)*I459))</f>
        <v/>
      </c>
      <c r="N459" s="6">
        <f>IF(OR(M459="",L459="",L459=0),"",M459/L459)</f>
        <v/>
      </c>
      <c r="O459">
        <f>IF(M459="","",IF(M459&gt;0,"Win",IF(M459&lt;0,"Loss","Scratch")))</f>
        <v/>
      </c>
    </row>
    <row r="460">
      <c r="A460" s="5" t="n"/>
      <c r="G460" s="6" t="n"/>
      <c r="H460" s="6" t="n"/>
      <c r="J460" s="6" t="n"/>
      <c r="K460" s="6" t="n"/>
      <c r="L460" s="7">
        <f>IF(OR(G460="",J460="",I460=""),"",ABS(G460-J460)*I460)</f>
        <v/>
      </c>
      <c r="M460" s="7">
        <f>IF(OR(G460="",H460="",I460="",F460=""),"",IF(F460="Long",(H460-G460)*I460,(G460-H460)*I460))</f>
        <v/>
      </c>
      <c r="N460" s="6">
        <f>IF(OR(M460="",L460="",L460=0),"",M460/L460)</f>
        <v/>
      </c>
      <c r="O460">
        <f>IF(M460="","",IF(M460&gt;0,"Win",IF(M460&lt;0,"Loss","Scratch")))</f>
        <v/>
      </c>
    </row>
    <row r="461">
      <c r="A461" s="5" t="n"/>
      <c r="G461" s="6" t="n"/>
      <c r="H461" s="6" t="n"/>
      <c r="J461" s="6" t="n"/>
      <c r="K461" s="6" t="n"/>
      <c r="L461" s="7">
        <f>IF(OR(G461="",J461="",I461=""),"",ABS(G461-J461)*I461)</f>
        <v/>
      </c>
      <c r="M461" s="7">
        <f>IF(OR(G461="",H461="",I461="",F461=""),"",IF(F461="Long",(H461-G461)*I461,(G461-H461)*I461))</f>
        <v/>
      </c>
      <c r="N461" s="6">
        <f>IF(OR(M461="",L461="",L461=0),"",M461/L461)</f>
        <v/>
      </c>
      <c r="O461">
        <f>IF(M461="","",IF(M461&gt;0,"Win",IF(M461&lt;0,"Loss","Scratch")))</f>
        <v/>
      </c>
    </row>
    <row r="462">
      <c r="A462" s="5" t="n"/>
      <c r="G462" s="6" t="n"/>
      <c r="H462" s="6" t="n"/>
      <c r="J462" s="6" t="n"/>
      <c r="K462" s="6" t="n"/>
      <c r="L462" s="7">
        <f>IF(OR(G462="",J462="",I462=""),"",ABS(G462-J462)*I462)</f>
        <v/>
      </c>
      <c r="M462" s="7">
        <f>IF(OR(G462="",H462="",I462="",F462=""),"",IF(F462="Long",(H462-G462)*I462,(G462-H462)*I462))</f>
        <v/>
      </c>
      <c r="N462" s="6">
        <f>IF(OR(M462="",L462="",L462=0),"",M462/L462)</f>
        <v/>
      </c>
      <c r="O462">
        <f>IF(M462="","",IF(M462&gt;0,"Win",IF(M462&lt;0,"Loss","Scratch")))</f>
        <v/>
      </c>
    </row>
    <row r="463">
      <c r="A463" s="5" t="n"/>
      <c r="G463" s="6" t="n"/>
      <c r="H463" s="6" t="n"/>
      <c r="J463" s="6" t="n"/>
      <c r="K463" s="6" t="n"/>
      <c r="L463" s="7">
        <f>IF(OR(G463="",J463="",I463=""),"",ABS(G463-J463)*I463)</f>
        <v/>
      </c>
      <c r="M463" s="7">
        <f>IF(OR(G463="",H463="",I463="",F463=""),"",IF(F463="Long",(H463-G463)*I463,(G463-H463)*I463))</f>
        <v/>
      </c>
      <c r="N463" s="6">
        <f>IF(OR(M463="",L463="",L463=0),"",M463/L463)</f>
        <v/>
      </c>
      <c r="O463">
        <f>IF(M463="","",IF(M463&gt;0,"Win",IF(M463&lt;0,"Loss","Scratch")))</f>
        <v/>
      </c>
    </row>
    <row r="464">
      <c r="A464" s="5" t="n"/>
      <c r="G464" s="6" t="n"/>
      <c r="H464" s="6" t="n"/>
      <c r="J464" s="6" t="n"/>
      <c r="K464" s="6" t="n"/>
      <c r="L464" s="7">
        <f>IF(OR(G464="",J464="",I464=""),"",ABS(G464-J464)*I464)</f>
        <v/>
      </c>
      <c r="M464" s="7">
        <f>IF(OR(G464="",H464="",I464="",F464=""),"",IF(F464="Long",(H464-G464)*I464,(G464-H464)*I464))</f>
        <v/>
      </c>
      <c r="N464" s="6">
        <f>IF(OR(M464="",L464="",L464=0),"",M464/L464)</f>
        <v/>
      </c>
      <c r="O464">
        <f>IF(M464="","",IF(M464&gt;0,"Win",IF(M464&lt;0,"Loss","Scratch")))</f>
        <v/>
      </c>
    </row>
    <row r="465">
      <c r="A465" s="5" t="n"/>
      <c r="G465" s="6" t="n"/>
      <c r="H465" s="6" t="n"/>
      <c r="J465" s="6" t="n"/>
      <c r="K465" s="6" t="n"/>
      <c r="L465" s="7">
        <f>IF(OR(G465="",J465="",I465=""),"",ABS(G465-J465)*I465)</f>
        <v/>
      </c>
      <c r="M465" s="7">
        <f>IF(OR(G465="",H465="",I465="",F465=""),"",IF(F465="Long",(H465-G465)*I465,(G465-H465)*I465))</f>
        <v/>
      </c>
      <c r="N465" s="6">
        <f>IF(OR(M465="",L465="",L465=0),"",M465/L465)</f>
        <v/>
      </c>
      <c r="O465">
        <f>IF(M465="","",IF(M465&gt;0,"Win",IF(M465&lt;0,"Loss","Scratch")))</f>
        <v/>
      </c>
    </row>
    <row r="466">
      <c r="A466" s="5" t="n"/>
      <c r="G466" s="6" t="n"/>
      <c r="H466" s="6" t="n"/>
      <c r="J466" s="6" t="n"/>
      <c r="K466" s="6" t="n"/>
      <c r="L466" s="7">
        <f>IF(OR(G466="",J466="",I466=""),"",ABS(G466-J466)*I466)</f>
        <v/>
      </c>
      <c r="M466" s="7">
        <f>IF(OR(G466="",H466="",I466="",F466=""),"",IF(F466="Long",(H466-G466)*I466,(G466-H466)*I466))</f>
        <v/>
      </c>
      <c r="N466" s="6">
        <f>IF(OR(M466="",L466="",L466=0),"",M466/L466)</f>
        <v/>
      </c>
      <c r="O466">
        <f>IF(M466="","",IF(M466&gt;0,"Win",IF(M466&lt;0,"Loss","Scratch")))</f>
        <v/>
      </c>
    </row>
    <row r="467">
      <c r="A467" s="5" t="n"/>
      <c r="G467" s="6" t="n"/>
      <c r="H467" s="6" t="n"/>
      <c r="J467" s="6" t="n"/>
      <c r="K467" s="6" t="n"/>
      <c r="L467" s="7">
        <f>IF(OR(G467="",J467="",I467=""),"",ABS(G467-J467)*I467)</f>
        <v/>
      </c>
      <c r="M467" s="7">
        <f>IF(OR(G467="",H467="",I467="",F467=""),"",IF(F467="Long",(H467-G467)*I467,(G467-H467)*I467))</f>
        <v/>
      </c>
      <c r="N467" s="6">
        <f>IF(OR(M467="",L467="",L467=0),"",M467/L467)</f>
        <v/>
      </c>
      <c r="O467">
        <f>IF(M467="","",IF(M467&gt;0,"Win",IF(M467&lt;0,"Loss","Scratch")))</f>
        <v/>
      </c>
    </row>
    <row r="468">
      <c r="A468" s="5" t="n"/>
      <c r="G468" s="6" t="n"/>
      <c r="H468" s="6" t="n"/>
      <c r="J468" s="6" t="n"/>
      <c r="K468" s="6" t="n"/>
      <c r="L468" s="7">
        <f>IF(OR(G468="",J468="",I468=""),"",ABS(G468-J468)*I468)</f>
        <v/>
      </c>
      <c r="M468" s="7">
        <f>IF(OR(G468="",H468="",I468="",F468=""),"",IF(F468="Long",(H468-G468)*I468,(G468-H468)*I468))</f>
        <v/>
      </c>
      <c r="N468" s="6">
        <f>IF(OR(M468="",L468="",L468=0),"",M468/L468)</f>
        <v/>
      </c>
      <c r="O468">
        <f>IF(M468="","",IF(M468&gt;0,"Win",IF(M468&lt;0,"Loss","Scratch")))</f>
        <v/>
      </c>
    </row>
    <row r="469">
      <c r="A469" s="5" t="n"/>
      <c r="G469" s="6" t="n"/>
      <c r="H469" s="6" t="n"/>
      <c r="J469" s="6" t="n"/>
      <c r="K469" s="6" t="n"/>
      <c r="L469" s="7">
        <f>IF(OR(G469="",J469="",I469=""),"",ABS(G469-J469)*I469)</f>
        <v/>
      </c>
      <c r="M469" s="7">
        <f>IF(OR(G469="",H469="",I469="",F469=""),"",IF(F469="Long",(H469-G469)*I469,(G469-H469)*I469))</f>
        <v/>
      </c>
      <c r="N469" s="6">
        <f>IF(OR(M469="",L469="",L469=0),"",M469/L469)</f>
        <v/>
      </c>
      <c r="O469">
        <f>IF(M469="","",IF(M469&gt;0,"Win",IF(M469&lt;0,"Loss","Scratch")))</f>
        <v/>
      </c>
    </row>
    <row r="470">
      <c r="A470" s="5" t="n"/>
      <c r="G470" s="6" t="n"/>
      <c r="H470" s="6" t="n"/>
      <c r="J470" s="6" t="n"/>
      <c r="K470" s="6" t="n"/>
      <c r="L470" s="7">
        <f>IF(OR(G470="",J470="",I470=""),"",ABS(G470-J470)*I470)</f>
        <v/>
      </c>
      <c r="M470" s="7">
        <f>IF(OR(G470="",H470="",I470="",F470=""),"",IF(F470="Long",(H470-G470)*I470,(G470-H470)*I470))</f>
        <v/>
      </c>
      <c r="N470" s="6">
        <f>IF(OR(M470="",L470="",L470=0),"",M470/L470)</f>
        <v/>
      </c>
      <c r="O470">
        <f>IF(M470="","",IF(M470&gt;0,"Win",IF(M470&lt;0,"Loss","Scratch")))</f>
        <v/>
      </c>
    </row>
    <row r="471">
      <c r="A471" s="5" t="n"/>
      <c r="G471" s="6" t="n"/>
      <c r="H471" s="6" t="n"/>
      <c r="J471" s="6" t="n"/>
      <c r="K471" s="6" t="n"/>
      <c r="L471" s="7">
        <f>IF(OR(G471="",J471="",I471=""),"",ABS(G471-J471)*I471)</f>
        <v/>
      </c>
      <c r="M471" s="7">
        <f>IF(OR(G471="",H471="",I471="",F471=""),"",IF(F471="Long",(H471-G471)*I471,(G471-H471)*I471))</f>
        <v/>
      </c>
      <c r="N471" s="6">
        <f>IF(OR(M471="",L471="",L471=0),"",M471/L471)</f>
        <v/>
      </c>
      <c r="O471">
        <f>IF(M471="","",IF(M471&gt;0,"Win",IF(M471&lt;0,"Loss","Scratch")))</f>
        <v/>
      </c>
    </row>
    <row r="472">
      <c r="A472" s="5" t="n"/>
      <c r="G472" s="6" t="n"/>
      <c r="H472" s="6" t="n"/>
      <c r="J472" s="6" t="n"/>
      <c r="K472" s="6" t="n"/>
      <c r="L472" s="7">
        <f>IF(OR(G472="",J472="",I472=""),"",ABS(G472-J472)*I472)</f>
        <v/>
      </c>
      <c r="M472" s="7">
        <f>IF(OR(G472="",H472="",I472="",F472=""),"",IF(F472="Long",(H472-G472)*I472,(G472-H472)*I472))</f>
        <v/>
      </c>
      <c r="N472" s="6">
        <f>IF(OR(M472="",L472="",L472=0),"",M472/L472)</f>
        <v/>
      </c>
      <c r="O472">
        <f>IF(M472="","",IF(M472&gt;0,"Win",IF(M472&lt;0,"Loss","Scratch")))</f>
        <v/>
      </c>
    </row>
    <row r="473">
      <c r="A473" s="5" t="n"/>
      <c r="G473" s="6" t="n"/>
      <c r="H473" s="6" t="n"/>
      <c r="J473" s="6" t="n"/>
      <c r="K473" s="6" t="n"/>
      <c r="L473" s="7">
        <f>IF(OR(G473="",J473="",I473=""),"",ABS(G473-J473)*I473)</f>
        <v/>
      </c>
      <c r="M473" s="7">
        <f>IF(OR(G473="",H473="",I473="",F473=""),"",IF(F473="Long",(H473-G473)*I473,(G473-H473)*I473))</f>
        <v/>
      </c>
      <c r="N473" s="6">
        <f>IF(OR(M473="",L473="",L473=0),"",M473/L473)</f>
        <v/>
      </c>
      <c r="O473">
        <f>IF(M473="","",IF(M473&gt;0,"Win",IF(M473&lt;0,"Loss","Scratch")))</f>
        <v/>
      </c>
    </row>
    <row r="474">
      <c r="A474" s="5" t="n"/>
      <c r="G474" s="6" t="n"/>
      <c r="H474" s="6" t="n"/>
      <c r="J474" s="6" t="n"/>
      <c r="K474" s="6" t="n"/>
      <c r="L474" s="7">
        <f>IF(OR(G474="",J474="",I474=""),"",ABS(G474-J474)*I474)</f>
        <v/>
      </c>
      <c r="M474" s="7">
        <f>IF(OR(G474="",H474="",I474="",F474=""),"",IF(F474="Long",(H474-G474)*I474,(G474-H474)*I474))</f>
        <v/>
      </c>
      <c r="N474" s="6">
        <f>IF(OR(M474="",L474="",L474=0),"",M474/L474)</f>
        <v/>
      </c>
      <c r="O474">
        <f>IF(M474="","",IF(M474&gt;0,"Win",IF(M474&lt;0,"Loss","Scratch")))</f>
        <v/>
      </c>
    </row>
    <row r="475">
      <c r="A475" s="5" t="n"/>
      <c r="G475" s="6" t="n"/>
      <c r="H475" s="6" t="n"/>
      <c r="J475" s="6" t="n"/>
      <c r="K475" s="6" t="n"/>
      <c r="L475" s="7">
        <f>IF(OR(G475="",J475="",I475=""),"",ABS(G475-J475)*I475)</f>
        <v/>
      </c>
      <c r="M475" s="7">
        <f>IF(OR(G475="",H475="",I475="",F475=""),"",IF(F475="Long",(H475-G475)*I475,(G475-H475)*I475))</f>
        <v/>
      </c>
      <c r="N475" s="6">
        <f>IF(OR(M475="",L475="",L475=0),"",M475/L475)</f>
        <v/>
      </c>
      <c r="O475">
        <f>IF(M475="","",IF(M475&gt;0,"Win",IF(M475&lt;0,"Loss","Scratch")))</f>
        <v/>
      </c>
    </row>
    <row r="476">
      <c r="A476" s="5" t="n"/>
      <c r="G476" s="6" t="n"/>
      <c r="H476" s="6" t="n"/>
      <c r="J476" s="6" t="n"/>
      <c r="K476" s="6" t="n"/>
      <c r="L476" s="7">
        <f>IF(OR(G476="",J476="",I476=""),"",ABS(G476-J476)*I476)</f>
        <v/>
      </c>
      <c r="M476" s="7">
        <f>IF(OR(G476="",H476="",I476="",F476=""),"",IF(F476="Long",(H476-G476)*I476,(G476-H476)*I476))</f>
        <v/>
      </c>
      <c r="N476" s="6">
        <f>IF(OR(M476="",L476="",L476=0),"",M476/L476)</f>
        <v/>
      </c>
      <c r="O476">
        <f>IF(M476="","",IF(M476&gt;0,"Win",IF(M476&lt;0,"Loss","Scratch")))</f>
        <v/>
      </c>
    </row>
    <row r="477">
      <c r="A477" s="5" t="n"/>
      <c r="G477" s="6" t="n"/>
      <c r="H477" s="6" t="n"/>
      <c r="J477" s="6" t="n"/>
      <c r="K477" s="6" t="n"/>
      <c r="L477" s="7">
        <f>IF(OR(G477="",J477="",I477=""),"",ABS(G477-J477)*I477)</f>
        <v/>
      </c>
      <c r="M477" s="7">
        <f>IF(OR(G477="",H477="",I477="",F477=""),"",IF(F477="Long",(H477-G477)*I477,(G477-H477)*I477))</f>
        <v/>
      </c>
      <c r="N477" s="6">
        <f>IF(OR(M477="",L477="",L477=0),"",M477/L477)</f>
        <v/>
      </c>
      <c r="O477">
        <f>IF(M477="","",IF(M477&gt;0,"Win",IF(M477&lt;0,"Loss","Scratch")))</f>
        <v/>
      </c>
    </row>
    <row r="478">
      <c r="A478" s="5" t="n"/>
      <c r="G478" s="6" t="n"/>
      <c r="H478" s="6" t="n"/>
      <c r="J478" s="6" t="n"/>
      <c r="K478" s="6" t="n"/>
      <c r="L478" s="7">
        <f>IF(OR(G478="",J478="",I478=""),"",ABS(G478-J478)*I478)</f>
        <v/>
      </c>
      <c r="M478" s="7">
        <f>IF(OR(G478="",H478="",I478="",F478=""),"",IF(F478="Long",(H478-G478)*I478,(G478-H478)*I478))</f>
        <v/>
      </c>
      <c r="N478" s="6">
        <f>IF(OR(M478="",L478="",L478=0),"",M478/L478)</f>
        <v/>
      </c>
      <c r="O478">
        <f>IF(M478="","",IF(M478&gt;0,"Win",IF(M478&lt;0,"Loss","Scratch")))</f>
        <v/>
      </c>
    </row>
    <row r="479">
      <c r="A479" s="5" t="n"/>
      <c r="G479" s="6" t="n"/>
      <c r="H479" s="6" t="n"/>
      <c r="J479" s="6" t="n"/>
      <c r="K479" s="6" t="n"/>
      <c r="L479" s="7">
        <f>IF(OR(G479="",J479="",I479=""),"",ABS(G479-J479)*I479)</f>
        <v/>
      </c>
      <c r="M479" s="7">
        <f>IF(OR(G479="",H479="",I479="",F479=""),"",IF(F479="Long",(H479-G479)*I479,(G479-H479)*I479))</f>
        <v/>
      </c>
      <c r="N479" s="6">
        <f>IF(OR(M479="",L479="",L479=0),"",M479/L479)</f>
        <v/>
      </c>
      <c r="O479">
        <f>IF(M479="","",IF(M479&gt;0,"Win",IF(M479&lt;0,"Loss","Scratch")))</f>
        <v/>
      </c>
    </row>
    <row r="480">
      <c r="A480" s="5" t="n"/>
      <c r="G480" s="6" t="n"/>
      <c r="H480" s="6" t="n"/>
      <c r="J480" s="6" t="n"/>
      <c r="K480" s="6" t="n"/>
      <c r="L480" s="7">
        <f>IF(OR(G480="",J480="",I480=""),"",ABS(G480-J480)*I480)</f>
        <v/>
      </c>
      <c r="M480" s="7">
        <f>IF(OR(G480="",H480="",I480="",F480=""),"",IF(F480="Long",(H480-G480)*I480,(G480-H480)*I480))</f>
        <v/>
      </c>
      <c r="N480" s="6">
        <f>IF(OR(M480="",L480="",L480=0),"",M480/L480)</f>
        <v/>
      </c>
      <c r="O480">
        <f>IF(M480="","",IF(M480&gt;0,"Win",IF(M480&lt;0,"Loss","Scratch")))</f>
        <v/>
      </c>
    </row>
    <row r="481">
      <c r="A481" s="5" t="n"/>
      <c r="G481" s="6" t="n"/>
      <c r="H481" s="6" t="n"/>
      <c r="J481" s="6" t="n"/>
      <c r="K481" s="6" t="n"/>
      <c r="L481" s="7">
        <f>IF(OR(G481="",J481="",I481=""),"",ABS(G481-J481)*I481)</f>
        <v/>
      </c>
      <c r="M481" s="7">
        <f>IF(OR(G481="",H481="",I481="",F481=""),"",IF(F481="Long",(H481-G481)*I481,(G481-H481)*I481))</f>
        <v/>
      </c>
      <c r="N481" s="6">
        <f>IF(OR(M481="",L481="",L481=0),"",M481/L481)</f>
        <v/>
      </c>
      <c r="O481">
        <f>IF(M481="","",IF(M481&gt;0,"Win",IF(M481&lt;0,"Loss","Scratch")))</f>
        <v/>
      </c>
    </row>
    <row r="482">
      <c r="A482" s="5" t="n"/>
      <c r="G482" s="6" t="n"/>
      <c r="H482" s="6" t="n"/>
      <c r="J482" s="6" t="n"/>
      <c r="K482" s="6" t="n"/>
      <c r="L482" s="7">
        <f>IF(OR(G482="",J482="",I482=""),"",ABS(G482-J482)*I482)</f>
        <v/>
      </c>
      <c r="M482" s="7">
        <f>IF(OR(G482="",H482="",I482="",F482=""),"",IF(F482="Long",(H482-G482)*I482,(G482-H482)*I482))</f>
        <v/>
      </c>
      <c r="N482" s="6">
        <f>IF(OR(M482="",L482="",L482=0),"",M482/L482)</f>
        <v/>
      </c>
      <c r="O482">
        <f>IF(M482="","",IF(M482&gt;0,"Win",IF(M482&lt;0,"Loss","Scratch")))</f>
        <v/>
      </c>
    </row>
    <row r="483">
      <c r="A483" s="5" t="n"/>
      <c r="G483" s="6" t="n"/>
      <c r="H483" s="6" t="n"/>
      <c r="J483" s="6" t="n"/>
      <c r="K483" s="6" t="n"/>
      <c r="L483" s="7">
        <f>IF(OR(G483="",J483="",I483=""),"",ABS(G483-J483)*I483)</f>
        <v/>
      </c>
      <c r="M483" s="7">
        <f>IF(OR(G483="",H483="",I483="",F483=""),"",IF(F483="Long",(H483-G483)*I483,(G483-H483)*I483))</f>
        <v/>
      </c>
      <c r="N483" s="6">
        <f>IF(OR(M483="",L483="",L483=0),"",M483/L483)</f>
        <v/>
      </c>
      <c r="O483">
        <f>IF(M483="","",IF(M483&gt;0,"Win",IF(M483&lt;0,"Loss","Scratch")))</f>
        <v/>
      </c>
    </row>
    <row r="484">
      <c r="A484" s="5" t="n"/>
      <c r="G484" s="6" t="n"/>
      <c r="H484" s="6" t="n"/>
      <c r="J484" s="6" t="n"/>
      <c r="K484" s="6" t="n"/>
      <c r="L484" s="7">
        <f>IF(OR(G484="",J484="",I484=""),"",ABS(G484-J484)*I484)</f>
        <v/>
      </c>
      <c r="M484" s="7">
        <f>IF(OR(G484="",H484="",I484="",F484=""),"",IF(F484="Long",(H484-G484)*I484,(G484-H484)*I484))</f>
        <v/>
      </c>
      <c r="N484" s="6">
        <f>IF(OR(M484="",L484="",L484=0),"",M484/L484)</f>
        <v/>
      </c>
      <c r="O484">
        <f>IF(M484="","",IF(M484&gt;0,"Win",IF(M484&lt;0,"Loss","Scratch")))</f>
        <v/>
      </c>
    </row>
    <row r="485">
      <c r="A485" s="5" t="n"/>
      <c r="G485" s="6" t="n"/>
      <c r="H485" s="6" t="n"/>
      <c r="J485" s="6" t="n"/>
      <c r="K485" s="6" t="n"/>
      <c r="L485" s="7">
        <f>IF(OR(G485="",J485="",I485=""),"",ABS(G485-J485)*I485)</f>
        <v/>
      </c>
      <c r="M485" s="7">
        <f>IF(OR(G485="",H485="",I485="",F485=""),"",IF(F485="Long",(H485-G485)*I485,(G485-H485)*I485))</f>
        <v/>
      </c>
      <c r="N485" s="6">
        <f>IF(OR(M485="",L485="",L485=0),"",M485/L485)</f>
        <v/>
      </c>
      <c r="O485">
        <f>IF(M485="","",IF(M485&gt;0,"Win",IF(M485&lt;0,"Loss","Scratch")))</f>
        <v/>
      </c>
    </row>
    <row r="486">
      <c r="A486" s="5" t="n"/>
      <c r="G486" s="6" t="n"/>
      <c r="H486" s="6" t="n"/>
      <c r="J486" s="6" t="n"/>
      <c r="K486" s="6" t="n"/>
      <c r="L486" s="7">
        <f>IF(OR(G486="",J486="",I486=""),"",ABS(G486-J486)*I486)</f>
        <v/>
      </c>
      <c r="M486" s="7">
        <f>IF(OR(G486="",H486="",I486="",F486=""),"",IF(F486="Long",(H486-G486)*I486,(G486-H486)*I486))</f>
        <v/>
      </c>
      <c r="N486" s="6">
        <f>IF(OR(M486="",L486="",L486=0),"",M486/L486)</f>
        <v/>
      </c>
      <c r="O486">
        <f>IF(M486="","",IF(M486&gt;0,"Win",IF(M486&lt;0,"Loss","Scratch")))</f>
        <v/>
      </c>
    </row>
    <row r="487">
      <c r="A487" s="5" t="n"/>
      <c r="G487" s="6" t="n"/>
      <c r="H487" s="6" t="n"/>
      <c r="J487" s="6" t="n"/>
      <c r="K487" s="6" t="n"/>
      <c r="L487" s="7">
        <f>IF(OR(G487="",J487="",I487=""),"",ABS(G487-J487)*I487)</f>
        <v/>
      </c>
      <c r="M487" s="7">
        <f>IF(OR(G487="",H487="",I487="",F487=""),"",IF(F487="Long",(H487-G487)*I487,(G487-H487)*I487))</f>
        <v/>
      </c>
      <c r="N487" s="6">
        <f>IF(OR(M487="",L487="",L487=0),"",M487/L487)</f>
        <v/>
      </c>
      <c r="O487">
        <f>IF(M487="","",IF(M487&gt;0,"Win",IF(M487&lt;0,"Loss","Scratch")))</f>
        <v/>
      </c>
    </row>
    <row r="488">
      <c r="A488" s="5" t="n"/>
      <c r="G488" s="6" t="n"/>
      <c r="H488" s="6" t="n"/>
      <c r="J488" s="6" t="n"/>
      <c r="K488" s="6" t="n"/>
      <c r="L488" s="7">
        <f>IF(OR(G488="",J488="",I488=""),"",ABS(G488-J488)*I488)</f>
        <v/>
      </c>
      <c r="M488" s="7">
        <f>IF(OR(G488="",H488="",I488="",F488=""),"",IF(F488="Long",(H488-G488)*I488,(G488-H488)*I488))</f>
        <v/>
      </c>
      <c r="N488" s="6">
        <f>IF(OR(M488="",L488="",L488=0),"",M488/L488)</f>
        <v/>
      </c>
      <c r="O488">
        <f>IF(M488="","",IF(M488&gt;0,"Win",IF(M488&lt;0,"Loss","Scratch")))</f>
        <v/>
      </c>
    </row>
    <row r="489">
      <c r="A489" s="5" t="n"/>
      <c r="G489" s="6" t="n"/>
      <c r="H489" s="6" t="n"/>
      <c r="J489" s="6" t="n"/>
      <c r="K489" s="6" t="n"/>
      <c r="L489" s="7">
        <f>IF(OR(G489="",J489="",I489=""),"",ABS(G489-J489)*I489)</f>
        <v/>
      </c>
      <c r="M489" s="7">
        <f>IF(OR(G489="",H489="",I489="",F489=""),"",IF(F489="Long",(H489-G489)*I489,(G489-H489)*I489))</f>
        <v/>
      </c>
      <c r="N489" s="6">
        <f>IF(OR(M489="",L489="",L489=0),"",M489/L489)</f>
        <v/>
      </c>
      <c r="O489">
        <f>IF(M489="","",IF(M489&gt;0,"Win",IF(M489&lt;0,"Loss","Scratch")))</f>
        <v/>
      </c>
    </row>
    <row r="490">
      <c r="A490" s="5" t="n"/>
      <c r="G490" s="6" t="n"/>
      <c r="H490" s="6" t="n"/>
      <c r="J490" s="6" t="n"/>
      <c r="K490" s="6" t="n"/>
      <c r="L490" s="7">
        <f>IF(OR(G490="",J490="",I490=""),"",ABS(G490-J490)*I490)</f>
        <v/>
      </c>
      <c r="M490" s="7">
        <f>IF(OR(G490="",H490="",I490="",F490=""),"",IF(F490="Long",(H490-G490)*I490,(G490-H490)*I490))</f>
        <v/>
      </c>
      <c r="N490" s="6">
        <f>IF(OR(M490="",L490="",L490=0),"",M490/L490)</f>
        <v/>
      </c>
      <c r="O490">
        <f>IF(M490="","",IF(M490&gt;0,"Win",IF(M490&lt;0,"Loss","Scratch")))</f>
        <v/>
      </c>
    </row>
    <row r="491">
      <c r="A491" s="5" t="n"/>
      <c r="G491" s="6" t="n"/>
      <c r="H491" s="6" t="n"/>
      <c r="J491" s="6" t="n"/>
      <c r="K491" s="6" t="n"/>
      <c r="L491" s="7">
        <f>IF(OR(G491="",J491="",I491=""),"",ABS(G491-J491)*I491)</f>
        <v/>
      </c>
      <c r="M491" s="7">
        <f>IF(OR(G491="",H491="",I491="",F491=""),"",IF(F491="Long",(H491-G491)*I491,(G491-H491)*I491))</f>
        <v/>
      </c>
      <c r="N491" s="6">
        <f>IF(OR(M491="",L491="",L491=0),"",M491/L491)</f>
        <v/>
      </c>
      <c r="O491">
        <f>IF(M491="","",IF(M491&gt;0,"Win",IF(M491&lt;0,"Loss","Scratch")))</f>
        <v/>
      </c>
    </row>
    <row r="492">
      <c r="A492" s="5" t="n"/>
      <c r="G492" s="6" t="n"/>
      <c r="H492" s="6" t="n"/>
      <c r="J492" s="6" t="n"/>
      <c r="K492" s="6" t="n"/>
      <c r="L492" s="7">
        <f>IF(OR(G492="",J492="",I492=""),"",ABS(G492-J492)*I492)</f>
        <v/>
      </c>
      <c r="M492" s="7">
        <f>IF(OR(G492="",H492="",I492="",F492=""),"",IF(F492="Long",(H492-G492)*I492,(G492-H492)*I492))</f>
        <v/>
      </c>
      <c r="N492" s="6">
        <f>IF(OR(M492="",L492="",L492=0),"",M492/L492)</f>
        <v/>
      </c>
      <c r="O492">
        <f>IF(M492="","",IF(M492&gt;0,"Win",IF(M492&lt;0,"Loss","Scratch")))</f>
        <v/>
      </c>
    </row>
    <row r="493">
      <c r="A493" s="5" t="n"/>
      <c r="G493" s="6" t="n"/>
      <c r="H493" s="6" t="n"/>
      <c r="J493" s="6" t="n"/>
      <c r="K493" s="6" t="n"/>
      <c r="L493" s="7">
        <f>IF(OR(G493="",J493="",I493=""),"",ABS(G493-J493)*I493)</f>
        <v/>
      </c>
      <c r="M493" s="7">
        <f>IF(OR(G493="",H493="",I493="",F493=""),"",IF(F493="Long",(H493-G493)*I493,(G493-H493)*I493))</f>
        <v/>
      </c>
      <c r="N493" s="6">
        <f>IF(OR(M493="",L493="",L493=0),"",M493/L493)</f>
        <v/>
      </c>
      <c r="O493">
        <f>IF(M493="","",IF(M493&gt;0,"Win",IF(M493&lt;0,"Loss","Scratch")))</f>
        <v/>
      </c>
    </row>
    <row r="494">
      <c r="A494" s="5" t="n"/>
      <c r="G494" s="6" t="n"/>
      <c r="H494" s="6" t="n"/>
      <c r="J494" s="6" t="n"/>
      <c r="K494" s="6" t="n"/>
      <c r="L494" s="7">
        <f>IF(OR(G494="",J494="",I494=""),"",ABS(G494-J494)*I494)</f>
        <v/>
      </c>
      <c r="M494" s="7">
        <f>IF(OR(G494="",H494="",I494="",F494=""),"",IF(F494="Long",(H494-G494)*I494,(G494-H494)*I494))</f>
        <v/>
      </c>
      <c r="N494" s="6">
        <f>IF(OR(M494="",L494="",L494=0),"",M494/L494)</f>
        <v/>
      </c>
      <c r="O494">
        <f>IF(M494="","",IF(M494&gt;0,"Win",IF(M494&lt;0,"Loss","Scratch")))</f>
        <v/>
      </c>
    </row>
    <row r="495">
      <c r="A495" s="5" t="n"/>
      <c r="G495" s="6" t="n"/>
      <c r="H495" s="6" t="n"/>
      <c r="J495" s="6" t="n"/>
      <c r="K495" s="6" t="n"/>
      <c r="L495" s="7">
        <f>IF(OR(G495="",J495="",I495=""),"",ABS(G495-J495)*I495)</f>
        <v/>
      </c>
      <c r="M495" s="7">
        <f>IF(OR(G495="",H495="",I495="",F495=""),"",IF(F495="Long",(H495-G495)*I495,(G495-H495)*I495))</f>
        <v/>
      </c>
      <c r="N495" s="6">
        <f>IF(OR(M495="",L495="",L495=0),"",M495/L495)</f>
        <v/>
      </c>
      <c r="O495">
        <f>IF(M495="","",IF(M495&gt;0,"Win",IF(M495&lt;0,"Loss","Scratch")))</f>
        <v/>
      </c>
    </row>
    <row r="496">
      <c r="A496" s="5" t="n"/>
      <c r="G496" s="6" t="n"/>
      <c r="H496" s="6" t="n"/>
      <c r="J496" s="6" t="n"/>
      <c r="K496" s="6" t="n"/>
      <c r="L496" s="7">
        <f>IF(OR(G496="",J496="",I496=""),"",ABS(G496-J496)*I496)</f>
        <v/>
      </c>
      <c r="M496" s="7">
        <f>IF(OR(G496="",H496="",I496="",F496=""),"",IF(F496="Long",(H496-G496)*I496,(G496-H496)*I496))</f>
        <v/>
      </c>
      <c r="N496" s="6">
        <f>IF(OR(M496="",L496="",L496=0),"",M496/L496)</f>
        <v/>
      </c>
      <c r="O496">
        <f>IF(M496="","",IF(M496&gt;0,"Win",IF(M496&lt;0,"Loss","Scratch")))</f>
        <v/>
      </c>
    </row>
    <row r="497">
      <c r="A497" s="5" t="n"/>
      <c r="G497" s="6" t="n"/>
      <c r="H497" s="6" t="n"/>
      <c r="J497" s="6" t="n"/>
      <c r="K497" s="6" t="n"/>
      <c r="L497" s="7">
        <f>IF(OR(G497="",J497="",I497=""),"",ABS(G497-J497)*I497)</f>
        <v/>
      </c>
      <c r="M497" s="7">
        <f>IF(OR(G497="",H497="",I497="",F497=""),"",IF(F497="Long",(H497-G497)*I497,(G497-H497)*I497))</f>
        <v/>
      </c>
      <c r="N497" s="6">
        <f>IF(OR(M497="",L497="",L497=0),"",M497/L497)</f>
        <v/>
      </c>
      <c r="O497">
        <f>IF(M497="","",IF(M497&gt;0,"Win",IF(M497&lt;0,"Loss","Scratch")))</f>
        <v/>
      </c>
    </row>
    <row r="498">
      <c r="A498" s="5" t="n"/>
      <c r="G498" s="6" t="n"/>
      <c r="H498" s="6" t="n"/>
      <c r="J498" s="6" t="n"/>
      <c r="K498" s="6" t="n"/>
      <c r="L498" s="7">
        <f>IF(OR(G498="",J498="",I498=""),"",ABS(G498-J498)*I498)</f>
        <v/>
      </c>
      <c r="M498" s="7">
        <f>IF(OR(G498="",H498="",I498="",F498=""),"",IF(F498="Long",(H498-G498)*I498,(G498-H498)*I498))</f>
        <v/>
      </c>
      <c r="N498" s="6">
        <f>IF(OR(M498="",L498="",L498=0),"",M498/L498)</f>
        <v/>
      </c>
      <c r="O498">
        <f>IF(M498="","",IF(M498&gt;0,"Win",IF(M498&lt;0,"Loss","Scratch")))</f>
        <v/>
      </c>
    </row>
    <row r="499">
      <c r="A499" s="5" t="n"/>
      <c r="G499" s="6" t="n"/>
      <c r="H499" s="6" t="n"/>
      <c r="J499" s="6" t="n"/>
      <c r="K499" s="6" t="n"/>
      <c r="L499" s="7">
        <f>IF(OR(G499="",J499="",I499=""),"",ABS(G499-J499)*I499)</f>
        <v/>
      </c>
      <c r="M499" s="7">
        <f>IF(OR(G499="",H499="",I499="",F499=""),"",IF(F499="Long",(H499-G499)*I499,(G499-H499)*I499))</f>
        <v/>
      </c>
      <c r="N499" s="6">
        <f>IF(OR(M499="",L499="",L499=0),"",M499/L499)</f>
        <v/>
      </c>
      <c r="O499">
        <f>IF(M499="","",IF(M499&gt;0,"Win",IF(M499&lt;0,"Loss","Scratch")))</f>
        <v/>
      </c>
    </row>
    <row r="500">
      <c r="A500" s="5" t="n"/>
      <c r="G500" s="6" t="n"/>
      <c r="H500" s="6" t="n"/>
      <c r="J500" s="6" t="n"/>
      <c r="K500" s="6" t="n"/>
      <c r="L500" s="7">
        <f>IF(OR(G500="",J500="",I500=""),"",ABS(G500-J500)*I500)</f>
        <v/>
      </c>
      <c r="M500" s="7">
        <f>IF(OR(G500="",H500="",I500="",F500=""),"",IF(F500="Long",(H500-G500)*I500,(G500-H500)*I500))</f>
        <v/>
      </c>
      <c r="N500" s="6">
        <f>IF(OR(M500="",L500="",L500=0),"",M500/L500)</f>
        <v/>
      </c>
      <c r="O500">
        <f>IF(M500="","",IF(M500&gt;0,"Win",IF(M500&lt;0,"Loss","Scratch")))</f>
        <v/>
      </c>
    </row>
    <row r="501">
      <c r="A501" s="5" t="n"/>
      <c r="G501" s="6" t="n"/>
      <c r="H501" s="6" t="n"/>
      <c r="J501" s="6" t="n"/>
      <c r="K501" s="6" t="n"/>
      <c r="L501" s="7">
        <f>IF(OR(G501="",J501="",I501=""),"",ABS(G501-J501)*I501)</f>
        <v/>
      </c>
      <c r="M501" s="7">
        <f>IF(OR(G501="",H501="",I501="",F501=""),"",IF(F501="Long",(H501-G501)*I501,(G501-H501)*I501))</f>
        <v/>
      </c>
      <c r="N501" s="6">
        <f>IF(OR(M501="",L501="",L501=0),"",M501/L501)</f>
        <v/>
      </c>
      <c r="O501">
        <f>IF(M501="","",IF(M501&gt;0,"Win",IF(M501&lt;0,"Loss","Scratch")))</f>
        <v/>
      </c>
    </row>
    <row r="502">
      <c r="A502" s="5" t="n"/>
      <c r="G502" s="6" t="n"/>
      <c r="H502" s="6" t="n"/>
      <c r="J502" s="6" t="n"/>
      <c r="K502" s="6" t="n"/>
      <c r="L502" s="7">
        <f>IF(OR(G502="",J502="",I502=""),"",ABS(G502-J502)*I502)</f>
        <v/>
      </c>
      <c r="M502" s="7">
        <f>IF(OR(G502="",H502="",I502="",F502=""),"",IF(F502="Long",(H502-G502)*I502,(G502-H502)*I502))</f>
        <v/>
      </c>
      <c r="N502" s="6">
        <f>IF(OR(M502="",L502="",L502=0),"",M502/L502)</f>
        <v/>
      </c>
      <c r="O502">
        <f>IF(M502="","",IF(M502&gt;0,"Win",IF(M502&lt;0,"Loss","Scratch")))</f>
        <v/>
      </c>
    </row>
    <row r="503">
      <c r="A503" s="5" t="n"/>
      <c r="G503" s="6" t="n"/>
      <c r="H503" s="6" t="n"/>
      <c r="J503" s="6" t="n"/>
      <c r="K503" s="6" t="n"/>
      <c r="L503" s="7">
        <f>IF(OR(G503="",J503="",I503=""),"",ABS(G503-J503)*I503)</f>
        <v/>
      </c>
      <c r="M503" s="7">
        <f>IF(OR(G503="",H503="",I503="",F503=""),"",IF(F503="Long",(H503-G503)*I503,(G503-H503)*I503))</f>
        <v/>
      </c>
      <c r="N503" s="6">
        <f>IF(OR(M503="",L503="",L503=0),"",M503/L503)</f>
        <v/>
      </c>
      <c r="O503">
        <f>IF(M503="","",IF(M503&gt;0,"Win",IF(M503&lt;0,"Loss","Scratch")))</f>
        <v/>
      </c>
    </row>
    <row r="504">
      <c r="A504" s="5" t="n"/>
      <c r="G504" s="6" t="n"/>
      <c r="H504" s="6" t="n"/>
      <c r="J504" s="6" t="n"/>
      <c r="K504" s="6" t="n"/>
      <c r="L504" s="7">
        <f>IF(OR(G504="",J504="",I504=""),"",ABS(G504-J504)*I504)</f>
        <v/>
      </c>
      <c r="M504" s="7">
        <f>IF(OR(G504="",H504="",I504="",F504=""),"",IF(F504="Long",(H504-G504)*I504,(G504-H504)*I504))</f>
        <v/>
      </c>
      <c r="N504" s="6">
        <f>IF(OR(M504="",L504="",L504=0),"",M504/L504)</f>
        <v/>
      </c>
      <c r="O504">
        <f>IF(M504="","",IF(M504&gt;0,"Win",IF(M504&lt;0,"Loss","Scratch")))</f>
        <v/>
      </c>
    </row>
    <row r="505">
      <c r="A505" s="5" t="n"/>
      <c r="G505" s="6" t="n"/>
      <c r="H505" s="6" t="n"/>
      <c r="J505" s="6" t="n"/>
      <c r="K505" s="6" t="n"/>
      <c r="L505" s="7">
        <f>IF(OR(G505="",J505="",I505=""),"",ABS(G505-J505)*I505)</f>
        <v/>
      </c>
      <c r="M505" s="7">
        <f>IF(OR(G505="",H505="",I505="",F505=""),"",IF(F505="Long",(H505-G505)*I505,(G505-H505)*I505))</f>
        <v/>
      </c>
      <c r="N505" s="6">
        <f>IF(OR(M505="",L505="",L505=0),"",M505/L505)</f>
        <v/>
      </c>
      <c r="O505">
        <f>IF(M505="","",IF(M505&gt;0,"Win",IF(M505&lt;0,"Loss","Scratch")))</f>
        <v/>
      </c>
    </row>
    <row r="506">
      <c r="A506" s="5" t="n"/>
      <c r="G506" s="6" t="n"/>
      <c r="H506" s="6" t="n"/>
      <c r="J506" s="6" t="n"/>
      <c r="K506" s="6" t="n"/>
      <c r="L506" s="7">
        <f>IF(OR(G506="",J506="",I506=""),"",ABS(G506-J506)*I506)</f>
        <v/>
      </c>
      <c r="M506" s="7">
        <f>IF(OR(G506="",H506="",I506="",F506=""),"",IF(F506="Long",(H506-G506)*I506,(G506-H506)*I506))</f>
        <v/>
      </c>
      <c r="N506" s="6">
        <f>IF(OR(M506="",L506="",L506=0),"",M506/L506)</f>
        <v/>
      </c>
      <c r="O506">
        <f>IF(M506="","",IF(M506&gt;0,"Win",IF(M506&lt;0,"Loss","Scratch")))</f>
        <v/>
      </c>
    </row>
    <row r="507">
      <c r="A507" s="5" t="n"/>
      <c r="G507" s="6" t="n"/>
      <c r="H507" s="6" t="n"/>
      <c r="J507" s="6" t="n"/>
      <c r="K507" s="6" t="n"/>
      <c r="L507" s="7">
        <f>IF(OR(G507="",J507="",I507=""),"",ABS(G507-J507)*I507)</f>
        <v/>
      </c>
      <c r="M507" s="7">
        <f>IF(OR(G507="",H507="",I507="",F507=""),"",IF(F507="Long",(H507-G507)*I507,(G507-H507)*I507))</f>
        <v/>
      </c>
      <c r="N507" s="6">
        <f>IF(OR(M507="",L507="",L507=0),"",M507/L507)</f>
        <v/>
      </c>
      <c r="O507">
        <f>IF(M507="","",IF(M507&gt;0,"Win",IF(M507&lt;0,"Loss","Scratch")))</f>
        <v/>
      </c>
    </row>
    <row r="508">
      <c r="A508" s="5" t="n"/>
      <c r="G508" s="6" t="n"/>
      <c r="H508" s="6" t="n"/>
      <c r="J508" s="6" t="n"/>
      <c r="K508" s="6" t="n"/>
      <c r="L508" s="7">
        <f>IF(OR(G508="",J508="",I508=""),"",ABS(G508-J508)*I508)</f>
        <v/>
      </c>
      <c r="M508" s="7">
        <f>IF(OR(G508="",H508="",I508="",F508=""),"",IF(F508="Long",(H508-G508)*I508,(G508-H508)*I508))</f>
        <v/>
      </c>
      <c r="N508" s="6">
        <f>IF(OR(M508="",L508="",L508=0),"",M508/L508)</f>
        <v/>
      </c>
      <c r="O508">
        <f>IF(M508="","",IF(M508&gt;0,"Win",IF(M508&lt;0,"Loss","Scratch")))</f>
        <v/>
      </c>
    </row>
    <row r="509">
      <c r="A509" s="5" t="n"/>
      <c r="G509" s="6" t="n"/>
      <c r="H509" s="6" t="n"/>
      <c r="J509" s="6" t="n"/>
      <c r="K509" s="6" t="n"/>
      <c r="L509" s="7">
        <f>IF(OR(G509="",J509="",I509=""),"",ABS(G509-J509)*I509)</f>
        <v/>
      </c>
      <c r="M509" s="7">
        <f>IF(OR(G509="",H509="",I509="",F509=""),"",IF(F509="Long",(H509-G509)*I509,(G509-H509)*I509))</f>
        <v/>
      </c>
      <c r="N509" s="6">
        <f>IF(OR(M509="",L509="",L509=0),"",M509/L509)</f>
        <v/>
      </c>
      <c r="O509">
        <f>IF(M509="","",IF(M509&gt;0,"Win",IF(M509&lt;0,"Loss","Scratch")))</f>
        <v/>
      </c>
    </row>
    <row r="510">
      <c r="A510" s="5" t="n"/>
      <c r="G510" s="6" t="n"/>
      <c r="H510" s="6" t="n"/>
      <c r="J510" s="6" t="n"/>
      <c r="K510" s="6" t="n"/>
      <c r="L510" s="7">
        <f>IF(OR(G510="",J510="",I510=""),"",ABS(G510-J510)*I510)</f>
        <v/>
      </c>
      <c r="M510" s="7">
        <f>IF(OR(G510="",H510="",I510="",F510=""),"",IF(F510="Long",(H510-G510)*I510,(G510-H510)*I510))</f>
        <v/>
      </c>
      <c r="N510" s="6">
        <f>IF(OR(M510="",L510="",L510=0),"",M510/L510)</f>
        <v/>
      </c>
      <c r="O510">
        <f>IF(M510="","",IF(M510&gt;0,"Win",IF(M510&lt;0,"Loss","Scratch")))</f>
        <v/>
      </c>
    </row>
    <row r="511">
      <c r="A511" s="5" t="n"/>
      <c r="G511" s="6" t="n"/>
      <c r="H511" s="6" t="n"/>
      <c r="J511" s="6" t="n"/>
      <c r="K511" s="6" t="n"/>
      <c r="L511" s="7">
        <f>IF(OR(G511="",J511="",I511=""),"",ABS(G511-J511)*I511)</f>
        <v/>
      </c>
      <c r="M511" s="7">
        <f>IF(OR(G511="",H511="",I511="",F511=""),"",IF(F511="Long",(H511-G511)*I511,(G511-H511)*I511))</f>
        <v/>
      </c>
      <c r="N511" s="6">
        <f>IF(OR(M511="",L511="",L511=0),"",M511/L511)</f>
        <v/>
      </c>
      <c r="O511">
        <f>IF(M511="","",IF(M511&gt;0,"Win",IF(M511&lt;0,"Loss","Scratch")))</f>
        <v/>
      </c>
    </row>
    <row r="512">
      <c r="A512" s="5" t="n"/>
      <c r="G512" s="6" t="n"/>
      <c r="H512" s="6" t="n"/>
      <c r="J512" s="6" t="n"/>
      <c r="K512" s="6" t="n"/>
      <c r="L512" s="7">
        <f>IF(OR(G512="",J512="",I512=""),"",ABS(G512-J512)*I512)</f>
        <v/>
      </c>
      <c r="M512" s="7">
        <f>IF(OR(G512="",H512="",I512="",F512=""),"",IF(F512="Long",(H512-G512)*I512,(G512-H512)*I512))</f>
        <v/>
      </c>
      <c r="N512" s="6">
        <f>IF(OR(M512="",L512="",L512=0),"",M512/L512)</f>
        <v/>
      </c>
      <c r="O512">
        <f>IF(M512="","",IF(M512&gt;0,"Win",IF(M512&lt;0,"Loss","Scratch")))</f>
        <v/>
      </c>
    </row>
    <row r="513">
      <c r="A513" s="5" t="n"/>
      <c r="G513" s="6" t="n"/>
      <c r="H513" s="6" t="n"/>
      <c r="J513" s="6" t="n"/>
      <c r="K513" s="6" t="n"/>
      <c r="L513" s="7">
        <f>IF(OR(G513="",J513="",I513=""),"",ABS(G513-J513)*I513)</f>
        <v/>
      </c>
      <c r="M513" s="7">
        <f>IF(OR(G513="",H513="",I513="",F513=""),"",IF(F513="Long",(H513-G513)*I513,(G513-H513)*I513))</f>
        <v/>
      </c>
      <c r="N513" s="6">
        <f>IF(OR(M513="",L513="",L513=0),"",M513/L513)</f>
        <v/>
      </c>
      <c r="O513">
        <f>IF(M513="","",IF(M513&gt;0,"Win",IF(M513&lt;0,"Loss","Scratch")))</f>
        <v/>
      </c>
    </row>
    <row r="514">
      <c r="A514" s="5" t="n"/>
      <c r="G514" s="6" t="n"/>
      <c r="H514" s="6" t="n"/>
      <c r="J514" s="6" t="n"/>
      <c r="K514" s="6" t="n"/>
      <c r="L514" s="7">
        <f>IF(OR(G514="",J514="",I514=""),"",ABS(G514-J514)*I514)</f>
        <v/>
      </c>
      <c r="M514" s="7">
        <f>IF(OR(G514="",H514="",I514="",F514=""),"",IF(F514="Long",(H514-G514)*I514,(G514-H514)*I514))</f>
        <v/>
      </c>
      <c r="N514" s="6">
        <f>IF(OR(M514="",L514="",L514=0),"",M514/L514)</f>
        <v/>
      </c>
      <c r="O514">
        <f>IF(M514="","",IF(M514&gt;0,"Win",IF(M514&lt;0,"Loss","Scratch")))</f>
        <v/>
      </c>
    </row>
    <row r="515">
      <c r="A515" s="5" t="n"/>
      <c r="G515" s="6" t="n"/>
      <c r="H515" s="6" t="n"/>
      <c r="J515" s="6" t="n"/>
      <c r="K515" s="6" t="n"/>
      <c r="L515" s="7">
        <f>IF(OR(G515="",J515="",I515=""),"",ABS(G515-J515)*I515)</f>
        <v/>
      </c>
      <c r="M515" s="7">
        <f>IF(OR(G515="",H515="",I515="",F515=""),"",IF(F515="Long",(H515-G515)*I515,(G515-H515)*I515))</f>
        <v/>
      </c>
      <c r="N515" s="6">
        <f>IF(OR(M515="",L515="",L515=0),"",M515/L515)</f>
        <v/>
      </c>
      <c r="O515">
        <f>IF(M515="","",IF(M515&gt;0,"Win",IF(M515&lt;0,"Loss","Scratch")))</f>
        <v/>
      </c>
    </row>
    <row r="516">
      <c r="A516" s="5" t="n"/>
      <c r="G516" s="6" t="n"/>
      <c r="H516" s="6" t="n"/>
      <c r="J516" s="6" t="n"/>
      <c r="K516" s="6" t="n"/>
      <c r="L516" s="7">
        <f>IF(OR(G516="",J516="",I516=""),"",ABS(G516-J516)*I516)</f>
        <v/>
      </c>
      <c r="M516" s="7">
        <f>IF(OR(G516="",H516="",I516="",F516=""),"",IF(F516="Long",(H516-G516)*I516,(G516-H516)*I516))</f>
        <v/>
      </c>
      <c r="N516" s="6">
        <f>IF(OR(M516="",L516="",L516=0),"",M516/L516)</f>
        <v/>
      </c>
      <c r="O516">
        <f>IF(M516="","",IF(M516&gt;0,"Win",IF(M516&lt;0,"Loss","Scratch")))</f>
        <v/>
      </c>
    </row>
    <row r="517">
      <c r="A517" s="5" t="n"/>
      <c r="G517" s="6" t="n"/>
      <c r="H517" s="6" t="n"/>
      <c r="J517" s="6" t="n"/>
      <c r="K517" s="6" t="n"/>
      <c r="L517" s="7">
        <f>IF(OR(G517="",J517="",I517=""),"",ABS(G517-J517)*I517)</f>
        <v/>
      </c>
      <c r="M517" s="7">
        <f>IF(OR(G517="",H517="",I517="",F517=""),"",IF(F517="Long",(H517-G517)*I517,(G517-H517)*I517))</f>
        <v/>
      </c>
      <c r="N517" s="6">
        <f>IF(OR(M517="",L517="",L517=0),"",M517/L517)</f>
        <v/>
      </c>
      <c r="O517">
        <f>IF(M517="","",IF(M517&gt;0,"Win",IF(M517&lt;0,"Loss","Scratch")))</f>
        <v/>
      </c>
    </row>
    <row r="518">
      <c r="A518" s="5" t="n"/>
      <c r="G518" s="6" t="n"/>
      <c r="H518" s="6" t="n"/>
      <c r="J518" s="6" t="n"/>
      <c r="K518" s="6" t="n"/>
      <c r="L518" s="7">
        <f>IF(OR(G518="",J518="",I518=""),"",ABS(G518-J518)*I518)</f>
        <v/>
      </c>
      <c r="M518" s="7">
        <f>IF(OR(G518="",H518="",I518="",F518=""),"",IF(F518="Long",(H518-G518)*I518,(G518-H518)*I518))</f>
        <v/>
      </c>
      <c r="N518" s="6">
        <f>IF(OR(M518="",L518="",L518=0),"",M518/L518)</f>
        <v/>
      </c>
      <c r="O518">
        <f>IF(M518="","",IF(M518&gt;0,"Win",IF(M518&lt;0,"Loss","Scratch")))</f>
        <v/>
      </c>
    </row>
    <row r="519">
      <c r="A519" s="5" t="n"/>
      <c r="G519" s="6" t="n"/>
      <c r="H519" s="6" t="n"/>
      <c r="J519" s="6" t="n"/>
      <c r="K519" s="6" t="n"/>
      <c r="L519" s="7">
        <f>IF(OR(G519="",J519="",I519=""),"",ABS(G519-J519)*I519)</f>
        <v/>
      </c>
      <c r="M519" s="7">
        <f>IF(OR(G519="",H519="",I519="",F519=""),"",IF(F519="Long",(H519-G519)*I519,(G519-H519)*I519))</f>
        <v/>
      </c>
      <c r="N519" s="6">
        <f>IF(OR(M519="",L519="",L519=0),"",M519/L519)</f>
        <v/>
      </c>
      <c r="O519">
        <f>IF(M519="","",IF(M519&gt;0,"Win",IF(M519&lt;0,"Loss","Scratch")))</f>
        <v/>
      </c>
    </row>
    <row r="520">
      <c r="A520" s="5" t="n"/>
      <c r="G520" s="6" t="n"/>
      <c r="H520" s="6" t="n"/>
      <c r="J520" s="6" t="n"/>
      <c r="K520" s="6" t="n"/>
      <c r="L520" s="7">
        <f>IF(OR(G520="",J520="",I520=""),"",ABS(G520-J520)*I520)</f>
        <v/>
      </c>
      <c r="M520" s="7">
        <f>IF(OR(G520="",H520="",I520="",F520=""),"",IF(F520="Long",(H520-G520)*I520,(G520-H520)*I520))</f>
        <v/>
      </c>
      <c r="N520" s="6">
        <f>IF(OR(M520="",L520="",L520=0),"",M520/L520)</f>
        <v/>
      </c>
      <c r="O520">
        <f>IF(M520="","",IF(M520&gt;0,"Win",IF(M520&lt;0,"Loss","Scratch")))</f>
        <v/>
      </c>
    </row>
    <row r="521">
      <c r="A521" s="5" t="n"/>
      <c r="G521" s="6" t="n"/>
      <c r="H521" s="6" t="n"/>
      <c r="J521" s="6" t="n"/>
      <c r="K521" s="6" t="n"/>
      <c r="L521" s="7">
        <f>IF(OR(G521="",J521="",I521=""),"",ABS(G521-J521)*I521)</f>
        <v/>
      </c>
      <c r="M521" s="7">
        <f>IF(OR(G521="",H521="",I521="",F521=""),"",IF(F521="Long",(H521-G521)*I521,(G521-H521)*I521))</f>
        <v/>
      </c>
      <c r="N521" s="6">
        <f>IF(OR(M521="",L521="",L521=0),"",M521/L521)</f>
        <v/>
      </c>
      <c r="O521">
        <f>IF(M521="","",IF(M521&gt;0,"Win",IF(M521&lt;0,"Loss","Scratch")))</f>
        <v/>
      </c>
    </row>
    <row r="522">
      <c r="A522" s="5" t="n"/>
      <c r="G522" s="6" t="n"/>
      <c r="H522" s="6" t="n"/>
      <c r="J522" s="6" t="n"/>
      <c r="K522" s="6" t="n"/>
      <c r="L522" s="7">
        <f>IF(OR(G522="",J522="",I522=""),"",ABS(G522-J522)*I522)</f>
        <v/>
      </c>
      <c r="M522" s="7">
        <f>IF(OR(G522="",H522="",I522="",F522=""),"",IF(F522="Long",(H522-G522)*I522,(G522-H522)*I522))</f>
        <v/>
      </c>
      <c r="N522" s="6">
        <f>IF(OR(M522="",L522="",L522=0),"",M522/L522)</f>
        <v/>
      </c>
      <c r="O522">
        <f>IF(M522="","",IF(M522&gt;0,"Win",IF(M522&lt;0,"Loss","Scratch")))</f>
        <v/>
      </c>
    </row>
    <row r="523">
      <c r="A523" s="5" t="n"/>
      <c r="G523" s="6" t="n"/>
      <c r="H523" s="6" t="n"/>
      <c r="J523" s="6" t="n"/>
      <c r="K523" s="6" t="n"/>
      <c r="L523" s="7">
        <f>IF(OR(G523="",J523="",I523=""),"",ABS(G523-J523)*I523)</f>
        <v/>
      </c>
      <c r="M523" s="7">
        <f>IF(OR(G523="",H523="",I523="",F523=""),"",IF(F523="Long",(H523-G523)*I523,(G523-H523)*I523))</f>
        <v/>
      </c>
      <c r="N523" s="6">
        <f>IF(OR(M523="",L523="",L523=0),"",M523/L523)</f>
        <v/>
      </c>
      <c r="O523">
        <f>IF(M523="","",IF(M523&gt;0,"Win",IF(M523&lt;0,"Loss","Scratch")))</f>
        <v/>
      </c>
    </row>
    <row r="524">
      <c r="A524" s="5" t="n"/>
      <c r="G524" s="6" t="n"/>
      <c r="H524" s="6" t="n"/>
      <c r="J524" s="6" t="n"/>
      <c r="K524" s="6" t="n"/>
      <c r="L524" s="7">
        <f>IF(OR(G524="",J524="",I524=""),"",ABS(G524-J524)*I524)</f>
        <v/>
      </c>
      <c r="M524" s="7">
        <f>IF(OR(G524="",H524="",I524="",F524=""),"",IF(F524="Long",(H524-G524)*I524,(G524-H524)*I524))</f>
        <v/>
      </c>
      <c r="N524" s="6">
        <f>IF(OR(M524="",L524="",L524=0),"",M524/L524)</f>
        <v/>
      </c>
      <c r="O524">
        <f>IF(M524="","",IF(M524&gt;0,"Win",IF(M524&lt;0,"Loss","Scratch")))</f>
        <v/>
      </c>
    </row>
    <row r="525">
      <c r="A525" s="5" t="n"/>
      <c r="G525" s="6" t="n"/>
      <c r="H525" s="6" t="n"/>
      <c r="J525" s="6" t="n"/>
      <c r="K525" s="6" t="n"/>
      <c r="L525" s="7">
        <f>IF(OR(G525="",J525="",I525=""),"",ABS(G525-J525)*I525)</f>
        <v/>
      </c>
      <c r="M525" s="7">
        <f>IF(OR(G525="",H525="",I525="",F525=""),"",IF(F525="Long",(H525-G525)*I525,(G525-H525)*I525))</f>
        <v/>
      </c>
      <c r="N525" s="6">
        <f>IF(OR(M525="",L525="",L525=0),"",M525/L525)</f>
        <v/>
      </c>
      <c r="O525">
        <f>IF(M525="","",IF(M525&gt;0,"Win",IF(M525&lt;0,"Loss","Scratch")))</f>
        <v/>
      </c>
    </row>
    <row r="526">
      <c r="A526" s="5" t="n"/>
      <c r="G526" s="6" t="n"/>
      <c r="H526" s="6" t="n"/>
      <c r="J526" s="6" t="n"/>
      <c r="K526" s="6" t="n"/>
      <c r="L526" s="7">
        <f>IF(OR(G526="",J526="",I526=""),"",ABS(G526-J526)*I526)</f>
        <v/>
      </c>
      <c r="M526" s="7">
        <f>IF(OR(G526="",H526="",I526="",F526=""),"",IF(F526="Long",(H526-G526)*I526,(G526-H526)*I526))</f>
        <v/>
      </c>
      <c r="N526" s="6">
        <f>IF(OR(M526="",L526="",L526=0),"",M526/L526)</f>
        <v/>
      </c>
      <c r="O526">
        <f>IF(M526="","",IF(M526&gt;0,"Win",IF(M526&lt;0,"Loss","Scratch")))</f>
        <v/>
      </c>
    </row>
    <row r="527">
      <c r="A527" s="5" t="n"/>
      <c r="G527" s="6" t="n"/>
      <c r="H527" s="6" t="n"/>
      <c r="J527" s="6" t="n"/>
      <c r="K527" s="6" t="n"/>
      <c r="L527" s="7">
        <f>IF(OR(G527="",J527="",I527=""),"",ABS(G527-J527)*I527)</f>
        <v/>
      </c>
      <c r="M527" s="7">
        <f>IF(OR(G527="",H527="",I527="",F527=""),"",IF(F527="Long",(H527-G527)*I527,(G527-H527)*I527))</f>
        <v/>
      </c>
      <c r="N527" s="6">
        <f>IF(OR(M527="",L527="",L527=0),"",M527/L527)</f>
        <v/>
      </c>
      <c r="O527">
        <f>IF(M527="","",IF(M527&gt;0,"Win",IF(M527&lt;0,"Loss","Scratch")))</f>
        <v/>
      </c>
    </row>
    <row r="528">
      <c r="A528" s="5" t="n"/>
      <c r="G528" s="6" t="n"/>
      <c r="H528" s="6" t="n"/>
      <c r="J528" s="6" t="n"/>
      <c r="K528" s="6" t="n"/>
      <c r="L528" s="7">
        <f>IF(OR(G528="",J528="",I528=""),"",ABS(G528-J528)*I528)</f>
        <v/>
      </c>
      <c r="M528" s="7">
        <f>IF(OR(G528="",H528="",I528="",F528=""),"",IF(F528="Long",(H528-G528)*I528,(G528-H528)*I528))</f>
        <v/>
      </c>
      <c r="N528" s="6">
        <f>IF(OR(M528="",L528="",L528=0),"",M528/L528)</f>
        <v/>
      </c>
      <c r="O528">
        <f>IF(M528="","",IF(M528&gt;0,"Win",IF(M528&lt;0,"Loss","Scratch")))</f>
        <v/>
      </c>
    </row>
    <row r="529">
      <c r="A529" s="5" t="n"/>
      <c r="G529" s="6" t="n"/>
      <c r="H529" s="6" t="n"/>
      <c r="J529" s="6" t="n"/>
      <c r="K529" s="6" t="n"/>
      <c r="L529" s="7">
        <f>IF(OR(G529="",J529="",I529=""),"",ABS(G529-J529)*I529)</f>
        <v/>
      </c>
      <c r="M529" s="7">
        <f>IF(OR(G529="",H529="",I529="",F529=""),"",IF(F529="Long",(H529-G529)*I529,(G529-H529)*I529))</f>
        <v/>
      </c>
      <c r="N529" s="6">
        <f>IF(OR(M529="",L529="",L529=0),"",M529/L529)</f>
        <v/>
      </c>
      <c r="O529">
        <f>IF(M529="","",IF(M529&gt;0,"Win",IF(M529&lt;0,"Loss","Scratch")))</f>
        <v/>
      </c>
    </row>
    <row r="530">
      <c r="A530" s="5" t="n"/>
      <c r="G530" s="6" t="n"/>
      <c r="H530" s="6" t="n"/>
      <c r="J530" s="6" t="n"/>
      <c r="K530" s="6" t="n"/>
      <c r="L530" s="7">
        <f>IF(OR(G530="",J530="",I530=""),"",ABS(G530-J530)*I530)</f>
        <v/>
      </c>
      <c r="M530" s="7">
        <f>IF(OR(G530="",H530="",I530="",F530=""),"",IF(F530="Long",(H530-G530)*I530,(G530-H530)*I530))</f>
        <v/>
      </c>
      <c r="N530" s="6">
        <f>IF(OR(M530="",L530="",L530=0),"",M530/L530)</f>
        <v/>
      </c>
      <c r="O530">
        <f>IF(M530="","",IF(M530&gt;0,"Win",IF(M530&lt;0,"Loss","Scratch")))</f>
        <v/>
      </c>
    </row>
    <row r="531">
      <c r="A531" s="5" t="n"/>
      <c r="G531" s="6" t="n"/>
      <c r="H531" s="6" t="n"/>
      <c r="J531" s="6" t="n"/>
      <c r="K531" s="6" t="n"/>
      <c r="L531" s="7">
        <f>IF(OR(G531="",J531="",I531=""),"",ABS(G531-J531)*I531)</f>
        <v/>
      </c>
      <c r="M531" s="7">
        <f>IF(OR(G531="",H531="",I531="",F531=""),"",IF(F531="Long",(H531-G531)*I531,(G531-H531)*I531))</f>
        <v/>
      </c>
      <c r="N531" s="6">
        <f>IF(OR(M531="",L531="",L531=0),"",M531/L531)</f>
        <v/>
      </c>
      <c r="O531">
        <f>IF(M531="","",IF(M531&gt;0,"Win",IF(M531&lt;0,"Loss","Scratch")))</f>
        <v/>
      </c>
    </row>
    <row r="532">
      <c r="A532" s="5" t="n"/>
      <c r="G532" s="6" t="n"/>
      <c r="H532" s="6" t="n"/>
      <c r="J532" s="6" t="n"/>
      <c r="K532" s="6" t="n"/>
      <c r="L532" s="7">
        <f>IF(OR(G532="",J532="",I532=""),"",ABS(G532-J532)*I532)</f>
        <v/>
      </c>
      <c r="M532" s="7">
        <f>IF(OR(G532="",H532="",I532="",F532=""),"",IF(F532="Long",(H532-G532)*I532,(G532-H532)*I532))</f>
        <v/>
      </c>
      <c r="N532" s="6">
        <f>IF(OR(M532="",L532="",L532=0),"",M532/L532)</f>
        <v/>
      </c>
      <c r="O532">
        <f>IF(M532="","",IF(M532&gt;0,"Win",IF(M532&lt;0,"Loss","Scratch")))</f>
        <v/>
      </c>
    </row>
    <row r="533">
      <c r="A533" s="5" t="n"/>
      <c r="G533" s="6" t="n"/>
      <c r="H533" s="6" t="n"/>
      <c r="J533" s="6" t="n"/>
      <c r="K533" s="6" t="n"/>
      <c r="L533" s="7">
        <f>IF(OR(G533="",J533="",I533=""),"",ABS(G533-J533)*I533)</f>
        <v/>
      </c>
      <c r="M533" s="7">
        <f>IF(OR(G533="",H533="",I533="",F533=""),"",IF(F533="Long",(H533-G533)*I533,(G533-H533)*I533))</f>
        <v/>
      </c>
      <c r="N533" s="6">
        <f>IF(OR(M533="",L533="",L533=0),"",M533/L533)</f>
        <v/>
      </c>
      <c r="O533">
        <f>IF(M533="","",IF(M533&gt;0,"Win",IF(M533&lt;0,"Loss","Scratch")))</f>
        <v/>
      </c>
    </row>
    <row r="534">
      <c r="A534" s="5" t="n"/>
      <c r="G534" s="6" t="n"/>
      <c r="H534" s="6" t="n"/>
      <c r="J534" s="6" t="n"/>
      <c r="K534" s="6" t="n"/>
      <c r="L534" s="7">
        <f>IF(OR(G534="",J534="",I534=""),"",ABS(G534-J534)*I534)</f>
        <v/>
      </c>
      <c r="M534" s="7">
        <f>IF(OR(G534="",H534="",I534="",F534=""),"",IF(F534="Long",(H534-G534)*I534,(G534-H534)*I534))</f>
        <v/>
      </c>
      <c r="N534" s="6">
        <f>IF(OR(M534="",L534="",L534=0),"",M534/L534)</f>
        <v/>
      </c>
      <c r="O534">
        <f>IF(M534="","",IF(M534&gt;0,"Win",IF(M534&lt;0,"Loss","Scratch")))</f>
        <v/>
      </c>
    </row>
    <row r="535">
      <c r="A535" s="5" t="n"/>
      <c r="G535" s="6" t="n"/>
      <c r="H535" s="6" t="n"/>
      <c r="J535" s="6" t="n"/>
      <c r="K535" s="6" t="n"/>
      <c r="L535" s="7">
        <f>IF(OR(G535="",J535="",I535=""),"",ABS(G535-J535)*I535)</f>
        <v/>
      </c>
      <c r="M535" s="7">
        <f>IF(OR(G535="",H535="",I535="",F535=""),"",IF(F535="Long",(H535-G535)*I535,(G535-H535)*I535))</f>
        <v/>
      </c>
      <c r="N535" s="6">
        <f>IF(OR(M535="",L535="",L535=0),"",M535/L535)</f>
        <v/>
      </c>
      <c r="O535">
        <f>IF(M535="","",IF(M535&gt;0,"Win",IF(M535&lt;0,"Loss","Scratch")))</f>
        <v/>
      </c>
    </row>
    <row r="536">
      <c r="A536" s="5" t="n"/>
      <c r="G536" s="6" t="n"/>
      <c r="H536" s="6" t="n"/>
      <c r="J536" s="6" t="n"/>
      <c r="K536" s="6" t="n"/>
      <c r="L536" s="7">
        <f>IF(OR(G536="",J536="",I536=""),"",ABS(G536-J536)*I536)</f>
        <v/>
      </c>
      <c r="M536" s="7">
        <f>IF(OR(G536="",H536="",I536="",F536=""),"",IF(F536="Long",(H536-G536)*I536,(G536-H536)*I536))</f>
        <v/>
      </c>
      <c r="N536" s="6">
        <f>IF(OR(M536="",L536="",L536=0),"",M536/L536)</f>
        <v/>
      </c>
      <c r="O536">
        <f>IF(M536="","",IF(M536&gt;0,"Win",IF(M536&lt;0,"Loss","Scratch")))</f>
        <v/>
      </c>
    </row>
    <row r="537">
      <c r="A537" s="5" t="n"/>
      <c r="G537" s="6" t="n"/>
      <c r="H537" s="6" t="n"/>
      <c r="J537" s="6" t="n"/>
      <c r="K537" s="6" t="n"/>
      <c r="L537" s="7">
        <f>IF(OR(G537="",J537="",I537=""),"",ABS(G537-J537)*I537)</f>
        <v/>
      </c>
      <c r="M537" s="7">
        <f>IF(OR(G537="",H537="",I537="",F537=""),"",IF(F537="Long",(H537-G537)*I537,(G537-H537)*I537))</f>
        <v/>
      </c>
      <c r="N537" s="6">
        <f>IF(OR(M537="",L537="",L537=0),"",M537/L537)</f>
        <v/>
      </c>
      <c r="O537">
        <f>IF(M537="","",IF(M537&gt;0,"Win",IF(M537&lt;0,"Loss","Scratch")))</f>
        <v/>
      </c>
    </row>
    <row r="538">
      <c r="A538" s="5" t="n"/>
      <c r="G538" s="6" t="n"/>
      <c r="H538" s="6" t="n"/>
      <c r="J538" s="6" t="n"/>
      <c r="K538" s="6" t="n"/>
      <c r="L538" s="7">
        <f>IF(OR(G538="",J538="",I538=""),"",ABS(G538-J538)*I538)</f>
        <v/>
      </c>
      <c r="M538" s="7">
        <f>IF(OR(G538="",H538="",I538="",F538=""),"",IF(F538="Long",(H538-G538)*I538,(G538-H538)*I538))</f>
        <v/>
      </c>
      <c r="N538" s="6">
        <f>IF(OR(M538="",L538="",L538=0),"",M538/L538)</f>
        <v/>
      </c>
      <c r="O538">
        <f>IF(M538="","",IF(M538&gt;0,"Win",IF(M538&lt;0,"Loss","Scratch")))</f>
        <v/>
      </c>
    </row>
    <row r="539">
      <c r="A539" s="5" t="n"/>
      <c r="G539" s="6" t="n"/>
      <c r="H539" s="6" t="n"/>
      <c r="J539" s="6" t="n"/>
      <c r="K539" s="6" t="n"/>
      <c r="L539" s="7">
        <f>IF(OR(G539="",J539="",I539=""),"",ABS(G539-J539)*I539)</f>
        <v/>
      </c>
      <c r="M539" s="7">
        <f>IF(OR(G539="",H539="",I539="",F539=""),"",IF(F539="Long",(H539-G539)*I539,(G539-H539)*I539))</f>
        <v/>
      </c>
      <c r="N539" s="6">
        <f>IF(OR(M539="",L539="",L539=0),"",M539/L539)</f>
        <v/>
      </c>
      <c r="O539">
        <f>IF(M539="","",IF(M539&gt;0,"Win",IF(M539&lt;0,"Loss","Scratch")))</f>
        <v/>
      </c>
    </row>
    <row r="540">
      <c r="A540" s="5" t="n"/>
      <c r="G540" s="6" t="n"/>
      <c r="H540" s="6" t="n"/>
      <c r="J540" s="6" t="n"/>
      <c r="K540" s="6" t="n"/>
      <c r="L540" s="7">
        <f>IF(OR(G540="",J540="",I540=""),"",ABS(G540-J540)*I540)</f>
        <v/>
      </c>
      <c r="M540" s="7">
        <f>IF(OR(G540="",H540="",I540="",F540=""),"",IF(F540="Long",(H540-G540)*I540,(G540-H540)*I540))</f>
        <v/>
      </c>
      <c r="N540" s="6">
        <f>IF(OR(M540="",L540="",L540=0),"",M540/L540)</f>
        <v/>
      </c>
      <c r="O540">
        <f>IF(M540="","",IF(M540&gt;0,"Win",IF(M540&lt;0,"Loss","Scratch")))</f>
        <v/>
      </c>
    </row>
    <row r="541">
      <c r="A541" s="5" t="n"/>
      <c r="G541" s="6" t="n"/>
      <c r="H541" s="6" t="n"/>
      <c r="J541" s="6" t="n"/>
      <c r="K541" s="6" t="n"/>
      <c r="L541" s="7">
        <f>IF(OR(G541="",J541="",I541=""),"",ABS(G541-J541)*I541)</f>
        <v/>
      </c>
      <c r="M541" s="7">
        <f>IF(OR(G541="",H541="",I541="",F541=""),"",IF(F541="Long",(H541-G541)*I541,(G541-H541)*I541))</f>
        <v/>
      </c>
      <c r="N541" s="6">
        <f>IF(OR(M541="",L541="",L541=0),"",M541/L541)</f>
        <v/>
      </c>
      <c r="O541">
        <f>IF(M541="","",IF(M541&gt;0,"Win",IF(M541&lt;0,"Loss","Scratch")))</f>
        <v/>
      </c>
    </row>
    <row r="542">
      <c r="A542" s="5" t="n"/>
      <c r="G542" s="6" t="n"/>
      <c r="H542" s="6" t="n"/>
      <c r="J542" s="6" t="n"/>
      <c r="K542" s="6" t="n"/>
      <c r="L542" s="7">
        <f>IF(OR(G542="",J542="",I542=""),"",ABS(G542-J542)*I542)</f>
        <v/>
      </c>
      <c r="M542" s="7">
        <f>IF(OR(G542="",H542="",I542="",F542=""),"",IF(F542="Long",(H542-G542)*I542,(G542-H542)*I542))</f>
        <v/>
      </c>
      <c r="N542" s="6">
        <f>IF(OR(M542="",L542="",L542=0),"",M542/L542)</f>
        <v/>
      </c>
      <c r="O542">
        <f>IF(M542="","",IF(M542&gt;0,"Win",IF(M542&lt;0,"Loss","Scratch")))</f>
        <v/>
      </c>
    </row>
    <row r="543">
      <c r="A543" s="5" t="n"/>
      <c r="G543" s="6" t="n"/>
      <c r="H543" s="6" t="n"/>
      <c r="J543" s="6" t="n"/>
      <c r="K543" s="6" t="n"/>
      <c r="L543" s="7">
        <f>IF(OR(G543="",J543="",I543=""),"",ABS(G543-J543)*I543)</f>
        <v/>
      </c>
      <c r="M543" s="7">
        <f>IF(OR(G543="",H543="",I543="",F543=""),"",IF(F543="Long",(H543-G543)*I543,(G543-H543)*I543))</f>
        <v/>
      </c>
      <c r="N543" s="6">
        <f>IF(OR(M543="",L543="",L543=0),"",M543/L543)</f>
        <v/>
      </c>
      <c r="O543">
        <f>IF(M543="","",IF(M543&gt;0,"Win",IF(M543&lt;0,"Loss","Scratch")))</f>
        <v/>
      </c>
    </row>
    <row r="544">
      <c r="A544" s="5" t="n"/>
      <c r="G544" s="6" t="n"/>
      <c r="H544" s="6" t="n"/>
      <c r="J544" s="6" t="n"/>
      <c r="K544" s="6" t="n"/>
      <c r="L544" s="7">
        <f>IF(OR(G544="",J544="",I544=""),"",ABS(G544-J544)*I544)</f>
        <v/>
      </c>
      <c r="M544" s="7">
        <f>IF(OR(G544="",H544="",I544="",F544=""),"",IF(F544="Long",(H544-G544)*I544,(G544-H544)*I544))</f>
        <v/>
      </c>
      <c r="N544" s="6">
        <f>IF(OR(M544="",L544="",L544=0),"",M544/L544)</f>
        <v/>
      </c>
      <c r="O544">
        <f>IF(M544="","",IF(M544&gt;0,"Win",IF(M544&lt;0,"Loss","Scratch")))</f>
        <v/>
      </c>
    </row>
    <row r="545">
      <c r="A545" s="5" t="n"/>
      <c r="G545" s="6" t="n"/>
      <c r="H545" s="6" t="n"/>
      <c r="J545" s="6" t="n"/>
      <c r="K545" s="6" t="n"/>
      <c r="L545" s="7">
        <f>IF(OR(G545="",J545="",I545=""),"",ABS(G545-J545)*I545)</f>
        <v/>
      </c>
      <c r="M545" s="7">
        <f>IF(OR(G545="",H545="",I545="",F545=""),"",IF(F545="Long",(H545-G545)*I545,(G545-H545)*I545))</f>
        <v/>
      </c>
      <c r="N545" s="6">
        <f>IF(OR(M545="",L545="",L545=0),"",M545/L545)</f>
        <v/>
      </c>
      <c r="O545">
        <f>IF(M545="","",IF(M545&gt;0,"Win",IF(M545&lt;0,"Loss","Scratch")))</f>
        <v/>
      </c>
    </row>
    <row r="546">
      <c r="A546" s="5" t="n"/>
      <c r="G546" s="6" t="n"/>
      <c r="H546" s="6" t="n"/>
      <c r="J546" s="6" t="n"/>
      <c r="K546" s="6" t="n"/>
      <c r="L546" s="7">
        <f>IF(OR(G546="",J546="",I546=""),"",ABS(G546-J546)*I546)</f>
        <v/>
      </c>
      <c r="M546" s="7">
        <f>IF(OR(G546="",H546="",I546="",F546=""),"",IF(F546="Long",(H546-G546)*I546,(G546-H546)*I546))</f>
        <v/>
      </c>
      <c r="N546" s="6">
        <f>IF(OR(M546="",L546="",L546=0),"",M546/L546)</f>
        <v/>
      </c>
      <c r="O546">
        <f>IF(M546="","",IF(M546&gt;0,"Win",IF(M546&lt;0,"Loss","Scratch")))</f>
        <v/>
      </c>
    </row>
    <row r="547">
      <c r="A547" s="5" t="n"/>
      <c r="G547" s="6" t="n"/>
      <c r="H547" s="6" t="n"/>
      <c r="J547" s="6" t="n"/>
      <c r="K547" s="6" t="n"/>
      <c r="L547" s="7">
        <f>IF(OR(G547="",J547="",I547=""),"",ABS(G547-J547)*I547)</f>
        <v/>
      </c>
      <c r="M547" s="7">
        <f>IF(OR(G547="",H547="",I547="",F547=""),"",IF(F547="Long",(H547-G547)*I547,(G547-H547)*I547))</f>
        <v/>
      </c>
      <c r="N547" s="6">
        <f>IF(OR(M547="",L547="",L547=0),"",M547/L547)</f>
        <v/>
      </c>
      <c r="O547">
        <f>IF(M547="","",IF(M547&gt;0,"Win",IF(M547&lt;0,"Loss","Scratch")))</f>
        <v/>
      </c>
    </row>
    <row r="548">
      <c r="A548" s="5" t="n"/>
      <c r="G548" s="6" t="n"/>
      <c r="H548" s="6" t="n"/>
      <c r="J548" s="6" t="n"/>
      <c r="K548" s="6" t="n"/>
      <c r="L548" s="7">
        <f>IF(OR(G548="",J548="",I548=""),"",ABS(G548-J548)*I548)</f>
        <v/>
      </c>
      <c r="M548" s="7">
        <f>IF(OR(G548="",H548="",I548="",F548=""),"",IF(F548="Long",(H548-G548)*I548,(G548-H548)*I548))</f>
        <v/>
      </c>
      <c r="N548" s="6">
        <f>IF(OR(M548="",L548="",L548=0),"",M548/L548)</f>
        <v/>
      </c>
      <c r="O548">
        <f>IF(M548="","",IF(M548&gt;0,"Win",IF(M548&lt;0,"Loss","Scratch")))</f>
        <v/>
      </c>
    </row>
    <row r="549">
      <c r="A549" s="5" t="n"/>
      <c r="G549" s="6" t="n"/>
      <c r="H549" s="6" t="n"/>
      <c r="J549" s="6" t="n"/>
      <c r="K549" s="6" t="n"/>
      <c r="L549" s="7">
        <f>IF(OR(G549="",J549="",I549=""),"",ABS(G549-J549)*I549)</f>
        <v/>
      </c>
      <c r="M549" s="7">
        <f>IF(OR(G549="",H549="",I549="",F549=""),"",IF(F549="Long",(H549-G549)*I549,(G549-H549)*I549))</f>
        <v/>
      </c>
      <c r="N549" s="6">
        <f>IF(OR(M549="",L549="",L549=0),"",M549/L549)</f>
        <v/>
      </c>
      <c r="O549">
        <f>IF(M549="","",IF(M549&gt;0,"Win",IF(M549&lt;0,"Loss","Scratch")))</f>
        <v/>
      </c>
    </row>
    <row r="550">
      <c r="A550" s="5" t="n"/>
      <c r="G550" s="6" t="n"/>
      <c r="H550" s="6" t="n"/>
      <c r="J550" s="6" t="n"/>
      <c r="K550" s="6" t="n"/>
      <c r="L550" s="7">
        <f>IF(OR(G550="",J550="",I550=""),"",ABS(G550-J550)*I550)</f>
        <v/>
      </c>
      <c r="M550" s="7">
        <f>IF(OR(G550="",H550="",I550="",F550=""),"",IF(F550="Long",(H550-G550)*I550,(G550-H550)*I550))</f>
        <v/>
      </c>
      <c r="N550" s="6">
        <f>IF(OR(M550="",L550="",L550=0),"",M550/L550)</f>
        <v/>
      </c>
      <c r="O550">
        <f>IF(M550="","",IF(M550&gt;0,"Win",IF(M550&lt;0,"Loss","Scratch")))</f>
        <v/>
      </c>
    </row>
    <row r="551">
      <c r="A551" s="5" t="n"/>
      <c r="G551" s="6" t="n"/>
      <c r="H551" s="6" t="n"/>
      <c r="J551" s="6" t="n"/>
      <c r="K551" s="6" t="n"/>
      <c r="L551" s="7">
        <f>IF(OR(G551="",J551="",I551=""),"",ABS(G551-J551)*I551)</f>
        <v/>
      </c>
      <c r="M551" s="7">
        <f>IF(OR(G551="",H551="",I551="",F551=""),"",IF(F551="Long",(H551-G551)*I551,(G551-H551)*I551))</f>
        <v/>
      </c>
      <c r="N551" s="6">
        <f>IF(OR(M551="",L551="",L551=0),"",M551/L551)</f>
        <v/>
      </c>
      <c r="O551">
        <f>IF(M551="","",IF(M551&gt;0,"Win",IF(M551&lt;0,"Loss","Scratch")))</f>
        <v/>
      </c>
    </row>
    <row r="552">
      <c r="A552" s="5" t="n"/>
      <c r="G552" s="6" t="n"/>
      <c r="H552" s="6" t="n"/>
      <c r="J552" s="6" t="n"/>
      <c r="K552" s="6" t="n"/>
      <c r="L552" s="7">
        <f>IF(OR(G552="",J552="",I552=""),"",ABS(G552-J552)*I552)</f>
        <v/>
      </c>
      <c r="M552" s="7">
        <f>IF(OR(G552="",H552="",I552="",F552=""),"",IF(F552="Long",(H552-G552)*I552,(G552-H552)*I552))</f>
        <v/>
      </c>
      <c r="N552" s="6">
        <f>IF(OR(M552="",L552="",L552=0),"",M552/L552)</f>
        <v/>
      </c>
      <c r="O552">
        <f>IF(M552="","",IF(M552&gt;0,"Win",IF(M552&lt;0,"Loss","Scratch")))</f>
        <v/>
      </c>
    </row>
    <row r="553">
      <c r="A553" s="5" t="n"/>
      <c r="G553" s="6" t="n"/>
      <c r="H553" s="6" t="n"/>
      <c r="J553" s="6" t="n"/>
      <c r="K553" s="6" t="n"/>
      <c r="L553" s="7">
        <f>IF(OR(G553="",J553="",I553=""),"",ABS(G553-J553)*I553)</f>
        <v/>
      </c>
      <c r="M553" s="7">
        <f>IF(OR(G553="",H553="",I553="",F553=""),"",IF(F553="Long",(H553-G553)*I553,(G553-H553)*I553))</f>
        <v/>
      </c>
      <c r="N553" s="6">
        <f>IF(OR(M553="",L553="",L553=0),"",M553/L553)</f>
        <v/>
      </c>
      <c r="O553">
        <f>IF(M553="","",IF(M553&gt;0,"Win",IF(M553&lt;0,"Loss","Scratch")))</f>
        <v/>
      </c>
    </row>
    <row r="554">
      <c r="A554" s="5" t="n"/>
      <c r="G554" s="6" t="n"/>
      <c r="H554" s="6" t="n"/>
      <c r="J554" s="6" t="n"/>
      <c r="K554" s="6" t="n"/>
      <c r="L554" s="7">
        <f>IF(OR(G554="",J554="",I554=""),"",ABS(G554-J554)*I554)</f>
        <v/>
      </c>
      <c r="M554" s="7">
        <f>IF(OR(G554="",H554="",I554="",F554=""),"",IF(F554="Long",(H554-G554)*I554,(G554-H554)*I554))</f>
        <v/>
      </c>
      <c r="N554" s="6">
        <f>IF(OR(M554="",L554="",L554=0),"",M554/L554)</f>
        <v/>
      </c>
      <c r="O554">
        <f>IF(M554="","",IF(M554&gt;0,"Win",IF(M554&lt;0,"Loss","Scratch")))</f>
        <v/>
      </c>
    </row>
    <row r="555">
      <c r="A555" s="5" t="n"/>
      <c r="G555" s="6" t="n"/>
      <c r="H555" s="6" t="n"/>
      <c r="J555" s="6" t="n"/>
      <c r="K555" s="6" t="n"/>
      <c r="L555" s="7">
        <f>IF(OR(G555="",J555="",I555=""),"",ABS(G555-J555)*I555)</f>
        <v/>
      </c>
      <c r="M555" s="7">
        <f>IF(OR(G555="",H555="",I555="",F555=""),"",IF(F555="Long",(H555-G555)*I555,(G555-H555)*I555))</f>
        <v/>
      </c>
      <c r="N555" s="6">
        <f>IF(OR(M555="",L555="",L555=0),"",M555/L555)</f>
        <v/>
      </c>
      <c r="O555">
        <f>IF(M555="","",IF(M555&gt;0,"Win",IF(M555&lt;0,"Loss","Scratch")))</f>
        <v/>
      </c>
    </row>
    <row r="556">
      <c r="A556" s="5" t="n"/>
      <c r="G556" s="6" t="n"/>
      <c r="H556" s="6" t="n"/>
      <c r="J556" s="6" t="n"/>
      <c r="K556" s="6" t="n"/>
      <c r="L556" s="7">
        <f>IF(OR(G556="",J556="",I556=""),"",ABS(G556-J556)*I556)</f>
        <v/>
      </c>
      <c r="M556" s="7">
        <f>IF(OR(G556="",H556="",I556="",F556=""),"",IF(F556="Long",(H556-G556)*I556,(G556-H556)*I556))</f>
        <v/>
      </c>
      <c r="N556" s="6">
        <f>IF(OR(M556="",L556="",L556=0),"",M556/L556)</f>
        <v/>
      </c>
      <c r="O556">
        <f>IF(M556="","",IF(M556&gt;0,"Win",IF(M556&lt;0,"Loss","Scratch")))</f>
        <v/>
      </c>
    </row>
    <row r="557">
      <c r="A557" s="5" t="n"/>
      <c r="G557" s="6" t="n"/>
      <c r="H557" s="6" t="n"/>
      <c r="J557" s="6" t="n"/>
      <c r="K557" s="6" t="n"/>
      <c r="L557" s="7">
        <f>IF(OR(G557="",J557="",I557=""),"",ABS(G557-J557)*I557)</f>
        <v/>
      </c>
      <c r="M557" s="7">
        <f>IF(OR(G557="",H557="",I557="",F557=""),"",IF(F557="Long",(H557-G557)*I557,(G557-H557)*I557))</f>
        <v/>
      </c>
      <c r="N557" s="6">
        <f>IF(OR(M557="",L557="",L557=0),"",M557/L557)</f>
        <v/>
      </c>
      <c r="O557">
        <f>IF(M557="","",IF(M557&gt;0,"Win",IF(M557&lt;0,"Loss","Scratch")))</f>
        <v/>
      </c>
    </row>
    <row r="558">
      <c r="A558" s="5" t="n"/>
      <c r="G558" s="6" t="n"/>
      <c r="H558" s="6" t="n"/>
      <c r="J558" s="6" t="n"/>
      <c r="K558" s="6" t="n"/>
      <c r="L558" s="7">
        <f>IF(OR(G558="",J558="",I558=""),"",ABS(G558-J558)*I558)</f>
        <v/>
      </c>
      <c r="M558" s="7">
        <f>IF(OR(G558="",H558="",I558="",F558=""),"",IF(F558="Long",(H558-G558)*I558,(G558-H558)*I558))</f>
        <v/>
      </c>
      <c r="N558" s="6">
        <f>IF(OR(M558="",L558="",L558=0),"",M558/L558)</f>
        <v/>
      </c>
      <c r="O558">
        <f>IF(M558="","",IF(M558&gt;0,"Win",IF(M558&lt;0,"Loss","Scratch")))</f>
        <v/>
      </c>
    </row>
    <row r="559">
      <c r="A559" s="5" t="n"/>
      <c r="G559" s="6" t="n"/>
      <c r="H559" s="6" t="n"/>
      <c r="J559" s="6" t="n"/>
      <c r="K559" s="6" t="n"/>
      <c r="L559" s="7">
        <f>IF(OR(G559="",J559="",I559=""),"",ABS(G559-J559)*I559)</f>
        <v/>
      </c>
      <c r="M559" s="7">
        <f>IF(OR(G559="",H559="",I559="",F559=""),"",IF(F559="Long",(H559-G559)*I559,(G559-H559)*I559))</f>
        <v/>
      </c>
      <c r="N559" s="6">
        <f>IF(OR(M559="",L559="",L559=0),"",M559/L559)</f>
        <v/>
      </c>
      <c r="O559">
        <f>IF(M559="","",IF(M559&gt;0,"Win",IF(M559&lt;0,"Loss","Scratch")))</f>
        <v/>
      </c>
    </row>
    <row r="560">
      <c r="A560" s="5" t="n"/>
      <c r="G560" s="6" t="n"/>
      <c r="H560" s="6" t="n"/>
      <c r="J560" s="6" t="n"/>
      <c r="K560" s="6" t="n"/>
      <c r="L560" s="7">
        <f>IF(OR(G560="",J560="",I560=""),"",ABS(G560-J560)*I560)</f>
        <v/>
      </c>
      <c r="M560" s="7">
        <f>IF(OR(G560="",H560="",I560="",F560=""),"",IF(F560="Long",(H560-G560)*I560,(G560-H560)*I560))</f>
        <v/>
      </c>
      <c r="N560" s="6">
        <f>IF(OR(M560="",L560="",L560=0),"",M560/L560)</f>
        <v/>
      </c>
      <c r="O560">
        <f>IF(M560="","",IF(M560&gt;0,"Win",IF(M560&lt;0,"Loss","Scratch")))</f>
        <v/>
      </c>
    </row>
    <row r="561">
      <c r="A561" s="5" t="n"/>
      <c r="G561" s="6" t="n"/>
      <c r="H561" s="6" t="n"/>
      <c r="J561" s="6" t="n"/>
      <c r="K561" s="6" t="n"/>
      <c r="L561" s="7">
        <f>IF(OR(G561="",J561="",I561=""),"",ABS(G561-J561)*I561)</f>
        <v/>
      </c>
      <c r="M561" s="7">
        <f>IF(OR(G561="",H561="",I561="",F561=""),"",IF(F561="Long",(H561-G561)*I561,(G561-H561)*I561))</f>
        <v/>
      </c>
      <c r="N561" s="6">
        <f>IF(OR(M561="",L561="",L561=0),"",M561/L561)</f>
        <v/>
      </c>
      <c r="O561">
        <f>IF(M561="","",IF(M561&gt;0,"Win",IF(M561&lt;0,"Loss","Scratch")))</f>
        <v/>
      </c>
    </row>
    <row r="562">
      <c r="A562" s="5" t="n"/>
      <c r="G562" s="6" t="n"/>
      <c r="H562" s="6" t="n"/>
      <c r="J562" s="6" t="n"/>
      <c r="K562" s="6" t="n"/>
      <c r="L562" s="7">
        <f>IF(OR(G562="",J562="",I562=""),"",ABS(G562-J562)*I562)</f>
        <v/>
      </c>
      <c r="M562" s="7">
        <f>IF(OR(G562="",H562="",I562="",F562=""),"",IF(F562="Long",(H562-G562)*I562,(G562-H562)*I562))</f>
        <v/>
      </c>
      <c r="N562" s="6">
        <f>IF(OR(M562="",L562="",L562=0),"",M562/L562)</f>
        <v/>
      </c>
      <c r="O562">
        <f>IF(M562="","",IF(M562&gt;0,"Win",IF(M562&lt;0,"Loss","Scratch")))</f>
        <v/>
      </c>
    </row>
    <row r="563">
      <c r="A563" s="5" t="n"/>
      <c r="G563" s="6" t="n"/>
      <c r="H563" s="6" t="n"/>
      <c r="J563" s="6" t="n"/>
      <c r="K563" s="6" t="n"/>
      <c r="L563" s="7">
        <f>IF(OR(G563="",J563="",I563=""),"",ABS(G563-J563)*I563)</f>
        <v/>
      </c>
      <c r="M563" s="7">
        <f>IF(OR(G563="",H563="",I563="",F563=""),"",IF(F563="Long",(H563-G563)*I563,(G563-H563)*I563))</f>
        <v/>
      </c>
      <c r="N563" s="6">
        <f>IF(OR(M563="",L563="",L563=0),"",M563/L563)</f>
        <v/>
      </c>
      <c r="O563">
        <f>IF(M563="","",IF(M563&gt;0,"Win",IF(M563&lt;0,"Loss","Scratch")))</f>
        <v/>
      </c>
    </row>
    <row r="564">
      <c r="A564" s="5" t="n"/>
      <c r="G564" s="6" t="n"/>
      <c r="H564" s="6" t="n"/>
      <c r="J564" s="6" t="n"/>
      <c r="K564" s="6" t="n"/>
      <c r="L564" s="7">
        <f>IF(OR(G564="",J564="",I564=""),"",ABS(G564-J564)*I564)</f>
        <v/>
      </c>
      <c r="M564" s="7">
        <f>IF(OR(G564="",H564="",I564="",F564=""),"",IF(F564="Long",(H564-G564)*I564,(G564-H564)*I564))</f>
        <v/>
      </c>
      <c r="N564" s="6">
        <f>IF(OR(M564="",L564="",L564=0),"",M564/L564)</f>
        <v/>
      </c>
      <c r="O564">
        <f>IF(M564="","",IF(M564&gt;0,"Win",IF(M564&lt;0,"Loss","Scratch")))</f>
        <v/>
      </c>
    </row>
    <row r="565">
      <c r="A565" s="5" t="n"/>
      <c r="G565" s="6" t="n"/>
      <c r="H565" s="6" t="n"/>
      <c r="J565" s="6" t="n"/>
      <c r="K565" s="6" t="n"/>
      <c r="L565" s="7">
        <f>IF(OR(G565="",J565="",I565=""),"",ABS(G565-J565)*I565)</f>
        <v/>
      </c>
      <c r="M565" s="7">
        <f>IF(OR(G565="",H565="",I565="",F565=""),"",IF(F565="Long",(H565-G565)*I565,(G565-H565)*I565))</f>
        <v/>
      </c>
      <c r="N565" s="6">
        <f>IF(OR(M565="",L565="",L565=0),"",M565/L565)</f>
        <v/>
      </c>
      <c r="O565">
        <f>IF(M565="","",IF(M565&gt;0,"Win",IF(M565&lt;0,"Loss","Scratch")))</f>
        <v/>
      </c>
    </row>
    <row r="566">
      <c r="A566" s="5" t="n"/>
      <c r="G566" s="6" t="n"/>
      <c r="H566" s="6" t="n"/>
      <c r="J566" s="6" t="n"/>
      <c r="K566" s="6" t="n"/>
      <c r="L566" s="7">
        <f>IF(OR(G566="",J566="",I566=""),"",ABS(G566-J566)*I566)</f>
        <v/>
      </c>
      <c r="M566" s="7">
        <f>IF(OR(G566="",H566="",I566="",F566=""),"",IF(F566="Long",(H566-G566)*I566,(G566-H566)*I566))</f>
        <v/>
      </c>
      <c r="N566" s="6">
        <f>IF(OR(M566="",L566="",L566=0),"",M566/L566)</f>
        <v/>
      </c>
      <c r="O566">
        <f>IF(M566="","",IF(M566&gt;0,"Win",IF(M566&lt;0,"Loss","Scratch")))</f>
        <v/>
      </c>
    </row>
    <row r="567">
      <c r="A567" s="5" t="n"/>
      <c r="G567" s="6" t="n"/>
      <c r="H567" s="6" t="n"/>
      <c r="J567" s="6" t="n"/>
      <c r="K567" s="6" t="n"/>
      <c r="L567" s="7">
        <f>IF(OR(G567="",J567="",I567=""),"",ABS(G567-J567)*I567)</f>
        <v/>
      </c>
      <c r="M567" s="7">
        <f>IF(OR(G567="",H567="",I567="",F567=""),"",IF(F567="Long",(H567-G567)*I567,(G567-H567)*I567))</f>
        <v/>
      </c>
      <c r="N567" s="6">
        <f>IF(OR(M567="",L567="",L567=0),"",M567/L567)</f>
        <v/>
      </c>
      <c r="O567">
        <f>IF(M567="","",IF(M567&gt;0,"Win",IF(M567&lt;0,"Loss","Scratch")))</f>
        <v/>
      </c>
    </row>
    <row r="568">
      <c r="A568" s="5" t="n"/>
      <c r="G568" s="6" t="n"/>
      <c r="H568" s="6" t="n"/>
      <c r="J568" s="6" t="n"/>
      <c r="K568" s="6" t="n"/>
      <c r="L568" s="7">
        <f>IF(OR(G568="",J568="",I568=""),"",ABS(G568-J568)*I568)</f>
        <v/>
      </c>
      <c r="M568" s="7">
        <f>IF(OR(G568="",H568="",I568="",F568=""),"",IF(F568="Long",(H568-G568)*I568,(G568-H568)*I568))</f>
        <v/>
      </c>
      <c r="N568" s="6">
        <f>IF(OR(M568="",L568="",L568=0),"",M568/L568)</f>
        <v/>
      </c>
      <c r="O568">
        <f>IF(M568="","",IF(M568&gt;0,"Win",IF(M568&lt;0,"Loss","Scratch")))</f>
        <v/>
      </c>
    </row>
    <row r="569">
      <c r="A569" s="5" t="n"/>
      <c r="G569" s="6" t="n"/>
      <c r="H569" s="6" t="n"/>
      <c r="J569" s="6" t="n"/>
      <c r="K569" s="6" t="n"/>
      <c r="L569" s="7">
        <f>IF(OR(G569="",J569="",I569=""),"",ABS(G569-J569)*I569)</f>
        <v/>
      </c>
      <c r="M569" s="7">
        <f>IF(OR(G569="",H569="",I569="",F569=""),"",IF(F569="Long",(H569-G569)*I569,(G569-H569)*I569))</f>
        <v/>
      </c>
      <c r="N569" s="6">
        <f>IF(OR(M569="",L569="",L569=0),"",M569/L569)</f>
        <v/>
      </c>
      <c r="O569">
        <f>IF(M569="","",IF(M569&gt;0,"Win",IF(M569&lt;0,"Loss","Scratch")))</f>
        <v/>
      </c>
    </row>
    <row r="570">
      <c r="A570" s="5" t="n"/>
      <c r="G570" s="6" t="n"/>
      <c r="H570" s="6" t="n"/>
      <c r="J570" s="6" t="n"/>
      <c r="K570" s="6" t="n"/>
      <c r="L570" s="7">
        <f>IF(OR(G570="",J570="",I570=""),"",ABS(G570-J570)*I570)</f>
        <v/>
      </c>
      <c r="M570" s="7">
        <f>IF(OR(G570="",H570="",I570="",F570=""),"",IF(F570="Long",(H570-G570)*I570,(G570-H570)*I570))</f>
        <v/>
      </c>
      <c r="N570" s="6">
        <f>IF(OR(M570="",L570="",L570=0),"",M570/L570)</f>
        <v/>
      </c>
      <c r="O570">
        <f>IF(M570="","",IF(M570&gt;0,"Win",IF(M570&lt;0,"Loss","Scratch")))</f>
        <v/>
      </c>
    </row>
    <row r="571">
      <c r="A571" s="5" t="n"/>
      <c r="G571" s="6" t="n"/>
      <c r="H571" s="6" t="n"/>
      <c r="J571" s="6" t="n"/>
      <c r="K571" s="6" t="n"/>
      <c r="L571" s="7">
        <f>IF(OR(G571="",J571="",I571=""),"",ABS(G571-J571)*I571)</f>
        <v/>
      </c>
      <c r="M571" s="7">
        <f>IF(OR(G571="",H571="",I571="",F571=""),"",IF(F571="Long",(H571-G571)*I571,(G571-H571)*I571))</f>
        <v/>
      </c>
      <c r="N571" s="6">
        <f>IF(OR(M571="",L571="",L571=0),"",M571/L571)</f>
        <v/>
      </c>
      <c r="O571">
        <f>IF(M571="","",IF(M571&gt;0,"Win",IF(M571&lt;0,"Loss","Scratch")))</f>
        <v/>
      </c>
    </row>
    <row r="572">
      <c r="A572" s="5" t="n"/>
      <c r="G572" s="6" t="n"/>
      <c r="H572" s="6" t="n"/>
      <c r="J572" s="6" t="n"/>
      <c r="K572" s="6" t="n"/>
      <c r="L572" s="7">
        <f>IF(OR(G572="",J572="",I572=""),"",ABS(G572-J572)*I572)</f>
        <v/>
      </c>
      <c r="M572" s="7">
        <f>IF(OR(G572="",H572="",I572="",F572=""),"",IF(F572="Long",(H572-G572)*I572,(G572-H572)*I572))</f>
        <v/>
      </c>
      <c r="N572" s="6">
        <f>IF(OR(M572="",L572="",L572=0),"",M572/L572)</f>
        <v/>
      </c>
      <c r="O572">
        <f>IF(M572="","",IF(M572&gt;0,"Win",IF(M572&lt;0,"Loss","Scratch")))</f>
        <v/>
      </c>
    </row>
    <row r="573">
      <c r="A573" s="5" t="n"/>
      <c r="G573" s="6" t="n"/>
      <c r="H573" s="6" t="n"/>
      <c r="J573" s="6" t="n"/>
      <c r="K573" s="6" t="n"/>
      <c r="L573" s="7">
        <f>IF(OR(G573="",J573="",I573=""),"",ABS(G573-J573)*I573)</f>
        <v/>
      </c>
      <c r="M573" s="7">
        <f>IF(OR(G573="",H573="",I573="",F573=""),"",IF(F573="Long",(H573-G573)*I573,(G573-H573)*I573))</f>
        <v/>
      </c>
      <c r="N573" s="6">
        <f>IF(OR(M573="",L573="",L573=0),"",M573/L573)</f>
        <v/>
      </c>
      <c r="O573">
        <f>IF(M573="","",IF(M573&gt;0,"Win",IF(M573&lt;0,"Loss","Scratch")))</f>
        <v/>
      </c>
    </row>
    <row r="574">
      <c r="A574" s="5" t="n"/>
      <c r="G574" s="6" t="n"/>
      <c r="H574" s="6" t="n"/>
      <c r="J574" s="6" t="n"/>
      <c r="K574" s="6" t="n"/>
      <c r="L574" s="7">
        <f>IF(OR(G574="",J574="",I574=""),"",ABS(G574-J574)*I574)</f>
        <v/>
      </c>
      <c r="M574" s="7">
        <f>IF(OR(G574="",H574="",I574="",F574=""),"",IF(F574="Long",(H574-G574)*I574,(G574-H574)*I574))</f>
        <v/>
      </c>
      <c r="N574" s="6">
        <f>IF(OR(M574="",L574="",L574=0),"",M574/L574)</f>
        <v/>
      </c>
      <c r="O574">
        <f>IF(M574="","",IF(M574&gt;0,"Win",IF(M574&lt;0,"Loss","Scratch")))</f>
        <v/>
      </c>
    </row>
    <row r="575">
      <c r="A575" s="5" t="n"/>
      <c r="G575" s="6" t="n"/>
      <c r="H575" s="6" t="n"/>
      <c r="J575" s="6" t="n"/>
      <c r="K575" s="6" t="n"/>
      <c r="L575" s="7">
        <f>IF(OR(G575="",J575="",I575=""),"",ABS(G575-J575)*I575)</f>
        <v/>
      </c>
      <c r="M575" s="7">
        <f>IF(OR(G575="",H575="",I575="",F575=""),"",IF(F575="Long",(H575-G575)*I575,(G575-H575)*I575))</f>
        <v/>
      </c>
      <c r="N575" s="6">
        <f>IF(OR(M575="",L575="",L575=0),"",M575/L575)</f>
        <v/>
      </c>
      <c r="O575">
        <f>IF(M575="","",IF(M575&gt;0,"Win",IF(M575&lt;0,"Loss","Scratch")))</f>
        <v/>
      </c>
    </row>
    <row r="576">
      <c r="A576" s="5" t="n"/>
      <c r="G576" s="6" t="n"/>
      <c r="H576" s="6" t="n"/>
      <c r="J576" s="6" t="n"/>
      <c r="K576" s="6" t="n"/>
      <c r="L576" s="7">
        <f>IF(OR(G576="",J576="",I576=""),"",ABS(G576-J576)*I576)</f>
        <v/>
      </c>
      <c r="M576" s="7">
        <f>IF(OR(G576="",H576="",I576="",F576=""),"",IF(F576="Long",(H576-G576)*I576,(G576-H576)*I576))</f>
        <v/>
      </c>
      <c r="N576" s="6">
        <f>IF(OR(M576="",L576="",L576=0),"",M576/L576)</f>
        <v/>
      </c>
      <c r="O576">
        <f>IF(M576="","",IF(M576&gt;0,"Win",IF(M576&lt;0,"Loss","Scratch")))</f>
        <v/>
      </c>
    </row>
    <row r="577">
      <c r="A577" s="5" t="n"/>
      <c r="G577" s="6" t="n"/>
      <c r="H577" s="6" t="n"/>
      <c r="J577" s="6" t="n"/>
      <c r="K577" s="6" t="n"/>
      <c r="L577" s="7">
        <f>IF(OR(G577="",J577="",I577=""),"",ABS(G577-J577)*I577)</f>
        <v/>
      </c>
      <c r="M577" s="7">
        <f>IF(OR(G577="",H577="",I577="",F577=""),"",IF(F577="Long",(H577-G577)*I577,(G577-H577)*I577))</f>
        <v/>
      </c>
      <c r="N577" s="6">
        <f>IF(OR(M577="",L577="",L577=0),"",M577/L577)</f>
        <v/>
      </c>
      <c r="O577">
        <f>IF(M577="","",IF(M577&gt;0,"Win",IF(M577&lt;0,"Loss","Scratch")))</f>
        <v/>
      </c>
    </row>
    <row r="578">
      <c r="A578" s="5" t="n"/>
      <c r="G578" s="6" t="n"/>
      <c r="H578" s="6" t="n"/>
      <c r="J578" s="6" t="n"/>
      <c r="K578" s="6" t="n"/>
      <c r="L578" s="7">
        <f>IF(OR(G578="",J578="",I578=""),"",ABS(G578-J578)*I578)</f>
        <v/>
      </c>
      <c r="M578" s="7">
        <f>IF(OR(G578="",H578="",I578="",F578=""),"",IF(F578="Long",(H578-G578)*I578,(G578-H578)*I578))</f>
        <v/>
      </c>
      <c r="N578" s="6">
        <f>IF(OR(M578="",L578="",L578=0),"",M578/L578)</f>
        <v/>
      </c>
      <c r="O578">
        <f>IF(M578="","",IF(M578&gt;0,"Win",IF(M578&lt;0,"Loss","Scratch")))</f>
        <v/>
      </c>
    </row>
    <row r="579">
      <c r="A579" s="5" t="n"/>
      <c r="G579" s="6" t="n"/>
      <c r="H579" s="6" t="n"/>
      <c r="J579" s="6" t="n"/>
      <c r="K579" s="6" t="n"/>
      <c r="L579" s="7">
        <f>IF(OR(G579="",J579="",I579=""),"",ABS(G579-J579)*I579)</f>
        <v/>
      </c>
      <c r="M579" s="7">
        <f>IF(OR(G579="",H579="",I579="",F579=""),"",IF(F579="Long",(H579-G579)*I579,(G579-H579)*I579))</f>
        <v/>
      </c>
      <c r="N579" s="6">
        <f>IF(OR(M579="",L579="",L579=0),"",M579/L579)</f>
        <v/>
      </c>
      <c r="O579">
        <f>IF(M579="","",IF(M579&gt;0,"Win",IF(M579&lt;0,"Loss","Scratch")))</f>
        <v/>
      </c>
    </row>
    <row r="580">
      <c r="A580" s="5" t="n"/>
      <c r="G580" s="6" t="n"/>
      <c r="H580" s="6" t="n"/>
      <c r="J580" s="6" t="n"/>
      <c r="K580" s="6" t="n"/>
      <c r="L580" s="7">
        <f>IF(OR(G580="",J580="",I580=""),"",ABS(G580-J580)*I580)</f>
        <v/>
      </c>
      <c r="M580" s="7">
        <f>IF(OR(G580="",H580="",I580="",F580=""),"",IF(F580="Long",(H580-G580)*I580,(G580-H580)*I580))</f>
        <v/>
      </c>
      <c r="N580" s="6">
        <f>IF(OR(M580="",L580="",L580=0),"",M580/L580)</f>
        <v/>
      </c>
      <c r="O580">
        <f>IF(M580="","",IF(M580&gt;0,"Win",IF(M580&lt;0,"Loss","Scratch")))</f>
        <v/>
      </c>
    </row>
    <row r="581">
      <c r="A581" s="5" t="n"/>
      <c r="G581" s="6" t="n"/>
      <c r="H581" s="6" t="n"/>
      <c r="J581" s="6" t="n"/>
      <c r="K581" s="6" t="n"/>
      <c r="L581" s="7">
        <f>IF(OR(G581="",J581="",I581=""),"",ABS(G581-J581)*I581)</f>
        <v/>
      </c>
      <c r="M581" s="7">
        <f>IF(OR(G581="",H581="",I581="",F581=""),"",IF(F581="Long",(H581-G581)*I581,(G581-H581)*I581))</f>
        <v/>
      </c>
      <c r="N581" s="6">
        <f>IF(OR(M581="",L581="",L581=0),"",M581/L581)</f>
        <v/>
      </c>
      <c r="O581">
        <f>IF(M581="","",IF(M581&gt;0,"Win",IF(M581&lt;0,"Loss","Scratch")))</f>
        <v/>
      </c>
    </row>
    <row r="582">
      <c r="A582" s="5" t="n"/>
      <c r="G582" s="6" t="n"/>
      <c r="H582" s="6" t="n"/>
      <c r="J582" s="6" t="n"/>
      <c r="K582" s="6" t="n"/>
      <c r="L582" s="7">
        <f>IF(OR(G582="",J582="",I582=""),"",ABS(G582-J582)*I582)</f>
        <v/>
      </c>
      <c r="M582" s="7">
        <f>IF(OR(G582="",H582="",I582="",F582=""),"",IF(F582="Long",(H582-G582)*I582,(G582-H582)*I582))</f>
        <v/>
      </c>
      <c r="N582" s="6">
        <f>IF(OR(M582="",L582="",L582=0),"",M582/L582)</f>
        <v/>
      </c>
      <c r="O582">
        <f>IF(M582="","",IF(M582&gt;0,"Win",IF(M582&lt;0,"Loss","Scratch")))</f>
        <v/>
      </c>
    </row>
    <row r="583">
      <c r="A583" s="5" t="n"/>
      <c r="G583" s="6" t="n"/>
      <c r="H583" s="6" t="n"/>
      <c r="J583" s="6" t="n"/>
      <c r="K583" s="6" t="n"/>
      <c r="L583" s="7">
        <f>IF(OR(G583="",J583="",I583=""),"",ABS(G583-J583)*I583)</f>
        <v/>
      </c>
      <c r="M583" s="7">
        <f>IF(OR(G583="",H583="",I583="",F583=""),"",IF(F583="Long",(H583-G583)*I583,(G583-H583)*I583))</f>
        <v/>
      </c>
      <c r="N583" s="6">
        <f>IF(OR(M583="",L583="",L583=0),"",M583/L583)</f>
        <v/>
      </c>
      <c r="O583">
        <f>IF(M583="","",IF(M583&gt;0,"Win",IF(M583&lt;0,"Loss","Scratch")))</f>
        <v/>
      </c>
    </row>
    <row r="584">
      <c r="A584" s="5" t="n"/>
      <c r="G584" s="6" t="n"/>
      <c r="H584" s="6" t="n"/>
      <c r="J584" s="6" t="n"/>
      <c r="K584" s="6" t="n"/>
      <c r="L584" s="7">
        <f>IF(OR(G584="",J584="",I584=""),"",ABS(G584-J584)*I584)</f>
        <v/>
      </c>
      <c r="M584" s="7">
        <f>IF(OR(G584="",H584="",I584="",F584=""),"",IF(F584="Long",(H584-G584)*I584,(G584-H584)*I584))</f>
        <v/>
      </c>
      <c r="N584" s="6">
        <f>IF(OR(M584="",L584="",L584=0),"",M584/L584)</f>
        <v/>
      </c>
      <c r="O584">
        <f>IF(M584="","",IF(M584&gt;0,"Win",IF(M584&lt;0,"Loss","Scratch")))</f>
        <v/>
      </c>
    </row>
    <row r="585">
      <c r="A585" s="5" t="n"/>
      <c r="G585" s="6" t="n"/>
      <c r="H585" s="6" t="n"/>
      <c r="J585" s="6" t="n"/>
      <c r="K585" s="6" t="n"/>
      <c r="L585" s="7">
        <f>IF(OR(G585="",J585="",I585=""),"",ABS(G585-J585)*I585)</f>
        <v/>
      </c>
      <c r="M585" s="7">
        <f>IF(OR(G585="",H585="",I585="",F585=""),"",IF(F585="Long",(H585-G585)*I585,(G585-H585)*I585))</f>
        <v/>
      </c>
      <c r="N585" s="6">
        <f>IF(OR(M585="",L585="",L585=0),"",M585/L585)</f>
        <v/>
      </c>
      <c r="O585">
        <f>IF(M585="","",IF(M585&gt;0,"Win",IF(M585&lt;0,"Loss","Scratch")))</f>
        <v/>
      </c>
    </row>
    <row r="586">
      <c r="A586" s="5" t="n"/>
      <c r="G586" s="6" t="n"/>
      <c r="H586" s="6" t="n"/>
      <c r="J586" s="6" t="n"/>
      <c r="K586" s="6" t="n"/>
      <c r="L586" s="7">
        <f>IF(OR(G586="",J586="",I586=""),"",ABS(G586-J586)*I586)</f>
        <v/>
      </c>
      <c r="M586" s="7">
        <f>IF(OR(G586="",H586="",I586="",F586=""),"",IF(F586="Long",(H586-G586)*I586,(G586-H586)*I586))</f>
        <v/>
      </c>
      <c r="N586" s="6">
        <f>IF(OR(M586="",L586="",L586=0),"",M586/L586)</f>
        <v/>
      </c>
      <c r="O586">
        <f>IF(M586="","",IF(M586&gt;0,"Win",IF(M586&lt;0,"Loss","Scratch")))</f>
        <v/>
      </c>
    </row>
    <row r="587">
      <c r="A587" s="5" t="n"/>
      <c r="G587" s="6" t="n"/>
      <c r="H587" s="6" t="n"/>
      <c r="J587" s="6" t="n"/>
      <c r="K587" s="6" t="n"/>
      <c r="L587" s="7">
        <f>IF(OR(G587="",J587="",I587=""),"",ABS(G587-J587)*I587)</f>
        <v/>
      </c>
      <c r="M587" s="7">
        <f>IF(OR(G587="",H587="",I587="",F587=""),"",IF(F587="Long",(H587-G587)*I587,(G587-H587)*I587))</f>
        <v/>
      </c>
      <c r="N587" s="6">
        <f>IF(OR(M587="",L587="",L587=0),"",M587/L587)</f>
        <v/>
      </c>
      <c r="O587">
        <f>IF(M587="","",IF(M587&gt;0,"Win",IF(M587&lt;0,"Loss","Scratch")))</f>
        <v/>
      </c>
    </row>
    <row r="588">
      <c r="A588" s="5" t="n"/>
      <c r="G588" s="6" t="n"/>
      <c r="H588" s="6" t="n"/>
      <c r="J588" s="6" t="n"/>
      <c r="K588" s="6" t="n"/>
      <c r="L588" s="7">
        <f>IF(OR(G588="",J588="",I588=""),"",ABS(G588-J588)*I588)</f>
        <v/>
      </c>
      <c r="M588" s="7">
        <f>IF(OR(G588="",H588="",I588="",F588=""),"",IF(F588="Long",(H588-G588)*I588,(G588-H588)*I588))</f>
        <v/>
      </c>
      <c r="N588" s="6">
        <f>IF(OR(M588="",L588="",L588=0),"",M588/L588)</f>
        <v/>
      </c>
      <c r="O588">
        <f>IF(M588="","",IF(M588&gt;0,"Win",IF(M588&lt;0,"Loss","Scratch")))</f>
        <v/>
      </c>
    </row>
    <row r="589">
      <c r="A589" s="5" t="n"/>
      <c r="G589" s="6" t="n"/>
      <c r="H589" s="6" t="n"/>
      <c r="J589" s="6" t="n"/>
      <c r="K589" s="6" t="n"/>
      <c r="L589" s="7">
        <f>IF(OR(G589="",J589="",I589=""),"",ABS(G589-J589)*I589)</f>
        <v/>
      </c>
      <c r="M589" s="7">
        <f>IF(OR(G589="",H589="",I589="",F589=""),"",IF(F589="Long",(H589-G589)*I589,(G589-H589)*I589))</f>
        <v/>
      </c>
      <c r="N589" s="6">
        <f>IF(OR(M589="",L589="",L589=0),"",M589/L589)</f>
        <v/>
      </c>
      <c r="O589">
        <f>IF(M589="","",IF(M589&gt;0,"Win",IF(M589&lt;0,"Loss","Scratch")))</f>
        <v/>
      </c>
    </row>
    <row r="590">
      <c r="A590" s="5" t="n"/>
      <c r="G590" s="6" t="n"/>
      <c r="H590" s="6" t="n"/>
      <c r="J590" s="6" t="n"/>
      <c r="K590" s="6" t="n"/>
      <c r="L590" s="7">
        <f>IF(OR(G590="",J590="",I590=""),"",ABS(G590-J590)*I590)</f>
        <v/>
      </c>
      <c r="M590" s="7">
        <f>IF(OR(G590="",H590="",I590="",F590=""),"",IF(F590="Long",(H590-G590)*I590,(G590-H590)*I590))</f>
        <v/>
      </c>
      <c r="N590" s="6">
        <f>IF(OR(M590="",L590="",L590=0),"",M590/L590)</f>
        <v/>
      </c>
      <c r="O590">
        <f>IF(M590="","",IF(M590&gt;0,"Win",IF(M590&lt;0,"Loss","Scratch")))</f>
        <v/>
      </c>
    </row>
    <row r="591">
      <c r="A591" s="5" t="n"/>
      <c r="G591" s="6" t="n"/>
      <c r="H591" s="6" t="n"/>
      <c r="J591" s="6" t="n"/>
      <c r="K591" s="6" t="n"/>
      <c r="L591" s="7">
        <f>IF(OR(G591="",J591="",I591=""),"",ABS(G591-J591)*I591)</f>
        <v/>
      </c>
      <c r="M591" s="7">
        <f>IF(OR(G591="",H591="",I591="",F591=""),"",IF(F591="Long",(H591-G591)*I591,(G591-H591)*I591))</f>
        <v/>
      </c>
      <c r="N591" s="6">
        <f>IF(OR(M591="",L591="",L591=0),"",M591/L591)</f>
        <v/>
      </c>
      <c r="O591">
        <f>IF(M591="","",IF(M591&gt;0,"Win",IF(M591&lt;0,"Loss","Scratch")))</f>
        <v/>
      </c>
    </row>
    <row r="592">
      <c r="A592" s="5" t="n"/>
      <c r="G592" s="6" t="n"/>
      <c r="H592" s="6" t="n"/>
      <c r="J592" s="6" t="n"/>
      <c r="K592" s="6" t="n"/>
      <c r="L592" s="7">
        <f>IF(OR(G592="",J592="",I592=""),"",ABS(G592-J592)*I592)</f>
        <v/>
      </c>
      <c r="M592" s="7">
        <f>IF(OR(G592="",H592="",I592="",F592=""),"",IF(F592="Long",(H592-G592)*I592,(G592-H592)*I592))</f>
        <v/>
      </c>
      <c r="N592" s="6">
        <f>IF(OR(M592="",L592="",L592=0),"",M592/L592)</f>
        <v/>
      </c>
      <c r="O592">
        <f>IF(M592="","",IF(M592&gt;0,"Win",IF(M592&lt;0,"Loss","Scratch")))</f>
        <v/>
      </c>
    </row>
    <row r="593">
      <c r="A593" s="5" t="n"/>
      <c r="G593" s="6" t="n"/>
      <c r="H593" s="6" t="n"/>
      <c r="J593" s="6" t="n"/>
      <c r="K593" s="6" t="n"/>
      <c r="L593" s="7">
        <f>IF(OR(G593="",J593="",I593=""),"",ABS(G593-J593)*I593)</f>
        <v/>
      </c>
      <c r="M593" s="7">
        <f>IF(OR(G593="",H593="",I593="",F593=""),"",IF(F593="Long",(H593-G593)*I593,(G593-H593)*I593))</f>
        <v/>
      </c>
      <c r="N593" s="6">
        <f>IF(OR(M593="",L593="",L593=0),"",M593/L593)</f>
        <v/>
      </c>
      <c r="O593">
        <f>IF(M593="","",IF(M593&gt;0,"Win",IF(M593&lt;0,"Loss","Scratch")))</f>
        <v/>
      </c>
    </row>
    <row r="594">
      <c r="A594" s="5" t="n"/>
      <c r="G594" s="6" t="n"/>
      <c r="H594" s="6" t="n"/>
      <c r="J594" s="6" t="n"/>
      <c r="K594" s="6" t="n"/>
      <c r="L594" s="7">
        <f>IF(OR(G594="",J594="",I594=""),"",ABS(G594-J594)*I594)</f>
        <v/>
      </c>
      <c r="M594" s="7">
        <f>IF(OR(G594="",H594="",I594="",F594=""),"",IF(F594="Long",(H594-G594)*I594,(G594-H594)*I594))</f>
        <v/>
      </c>
      <c r="N594" s="6">
        <f>IF(OR(M594="",L594="",L594=0),"",M594/L594)</f>
        <v/>
      </c>
      <c r="O594">
        <f>IF(M594="","",IF(M594&gt;0,"Win",IF(M594&lt;0,"Loss","Scratch")))</f>
        <v/>
      </c>
    </row>
    <row r="595">
      <c r="A595" s="5" t="n"/>
      <c r="G595" s="6" t="n"/>
      <c r="H595" s="6" t="n"/>
      <c r="J595" s="6" t="n"/>
      <c r="K595" s="6" t="n"/>
      <c r="L595" s="7">
        <f>IF(OR(G595="",J595="",I595=""),"",ABS(G595-J595)*I595)</f>
        <v/>
      </c>
      <c r="M595" s="7">
        <f>IF(OR(G595="",H595="",I595="",F595=""),"",IF(F595="Long",(H595-G595)*I595,(G595-H595)*I595))</f>
        <v/>
      </c>
      <c r="N595" s="6">
        <f>IF(OR(M595="",L595="",L595=0),"",M595/L595)</f>
        <v/>
      </c>
      <c r="O595">
        <f>IF(M595="","",IF(M595&gt;0,"Win",IF(M595&lt;0,"Loss","Scratch")))</f>
        <v/>
      </c>
    </row>
    <row r="596">
      <c r="A596" s="5" t="n"/>
      <c r="G596" s="6" t="n"/>
      <c r="H596" s="6" t="n"/>
      <c r="J596" s="6" t="n"/>
      <c r="K596" s="6" t="n"/>
      <c r="L596" s="7">
        <f>IF(OR(G596="",J596="",I596=""),"",ABS(G596-J596)*I596)</f>
        <v/>
      </c>
      <c r="M596" s="7">
        <f>IF(OR(G596="",H596="",I596="",F596=""),"",IF(F596="Long",(H596-G596)*I596,(G596-H596)*I596))</f>
        <v/>
      </c>
      <c r="N596" s="6">
        <f>IF(OR(M596="",L596="",L596=0),"",M596/L596)</f>
        <v/>
      </c>
      <c r="O596">
        <f>IF(M596="","",IF(M596&gt;0,"Win",IF(M596&lt;0,"Loss","Scratch")))</f>
        <v/>
      </c>
    </row>
    <row r="597">
      <c r="A597" s="5" t="n"/>
      <c r="G597" s="6" t="n"/>
      <c r="H597" s="6" t="n"/>
      <c r="J597" s="6" t="n"/>
      <c r="K597" s="6" t="n"/>
      <c r="L597" s="7">
        <f>IF(OR(G597="",J597="",I597=""),"",ABS(G597-J597)*I597)</f>
        <v/>
      </c>
      <c r="M597" s="7">
        <f>IF(OR(G597="",H597="",I597="",F597=""),"",IF(F597="Long",(H597-G597)*I597,(G597-H597)*I597))</f>
        <v/>
      </c>
      <c r="N597" s="6">
        <f>IF(OR(M597="",L597="",L597=0),"",M597/L597)</f>
        <v/>
      </c>
      <c r="O597">
        <f>IF(M597="","",IF(M597&gt;0,"Win",IF(M597&lt;0,"Loss","Scratch")))</f>
        <v/>
      </c>
    </row>
    <row r="598">
      <c r="A598" s="5" t="n"/>
      <c r="G598" s="6" t="n"/>
      <c r="H598" s="6" t="n"/>
      <c r="J598" s="6" t="n"/>
      <c r="K598" s="6" t="n"/>
      <c r="L598" s="7">
        <f>IF(OR(G598="",J598="",I598=""),"",ABS(G598-J598)*I598)</f>
        <v/>
      </c>
      <c r="M598" s="7">
        <f>IF(OR(G598="",H598="",I598="",F598=""),"",IF(F598="Long",(H598-G598)*I598,(G598-H598)*I598))</f>
        <v/>
      </c>
      <c r="N598" s="6">
        <f>IF(OR(M598="",L598="",L598=0),"",M598/L598)</f>
        <v/>
      </c>
      <c r="O598">
        <f>IF(M598="","",IF(M598&gt;0,"Win",IF(M598&lt;0,"Loss","Scratch")))</f>
        <v/>
      </c>
    </row>
    <row r="599">
      <c r="A599" s="5" t="n"/>
      <c r="G599" s="6" t="n"/>
      <c r="H599" s="6" t="n"/>
      <c r="J599" s="6" t="n"/>
      <c r="K599" s="6" t="n"/>
      <c r="L599" s="7">
        <f>IF(OR(G599="",J599="",I599=""),"",ABS(G599-J599)*I599)</f>
        <v/>
      </c>
      <c r="M599" s="7">
        <f>IF(OR(G599="",H599="",I599="",F599=""),"",IF(F599="Long",(H599-G599)*I599,(G599-H599)*I599))</f>
        <v/>
      </c>
      <c r="N599" s="6">
        <f>IF(OR(M599="",L599="",L599=0),"",M599/L599)</f>
        <v/>
      </c>
      <c r="O599">
        <f>IF(M599="","",IF(M599&gt;0,"Win",IF(M599&lt;0,"Loss","Scratch")))</f>
        <v/>
      </c>
    </row>
    <row r="600">
      <c r="A600" s="5" t="n"/>
      <c r="G600" s="6" t="n"/>
      <c r="H600" s="6" t="n"/>
      <c r="J600" s="6" t="n"/>
      <c r="K600" s="6" t="n"/>
      <c r="L600" s="7">
        <f>IF(OR(G600="",J600="",I600=""),"",ABS(G600-J600)*I600)</f>
        <v/>
      </c>
      <c r="M600" s="7">
        <f>IF(OR(G600="",H600="",I600="",F600=""),"",IF(F600="Long",(H600-G600)*I600,(G600-H600)*I600))</f>
        <v/>
      </c>
      <c r="N600" s="6">
        <f>IF(OR(M600="",L600="",L600=0),"",M600/L600)</f>
        <v/>
      </c>
      <c r="O600">
        <f>IF(M600="","",IF(M600&gt;0,"Win",IF(M600&lt;0,"Loss","Scratch")))</f>
        <v/>
      </c>
    </row>
    <row r="601">
      <c r="A601" s="5" t="n"/>
      <c r="G601" s="6" t="n"/>
      <c r="H601" s="6" t="n"/>
      <c r="J601" s="6" t="n"/>
      <c r="K601" s="6" t="n"/>
      <c r="L601" s="7">
        <f>IF(OR(G601="",J601="",I601=""),"",ABS(G601-J601)*I601)</f>
        <v/>
      </c>
      <c r="M601" s="7">
        <f>IF(OR(G601="",H601="",I601="",F601=""),"",IF(F601="Long",(H601-G601)*I601,(G601-H601)*I601))</f>
        <v/>
      </c>
      <c r="N601" s="6">
        <f>IF(OR(M601="",L601="",L601=0),"",M601/L601)</f>
        <v/>
      </c>
      <c r="O601">
        <f>IF(M601="","",IF(M601&gt;0,"Win",IF(M601&lt;0,"Loss","Scratch")))</f>
        <v/>
      </c>
    </row>
    <row r="602">
      <c r="A602" s="5" t="n"/>
      <c r="G602" s="6" t="n"/>
      <c r="H602" s="6" t="n"/>
      <c r="J602" s="6" t="n"/>
      <c r="K602" s="6" t="n"/>
      <c r="L602" s="7">
        <f>IF(OR(G602="",J602="",I602=""),"",ABS(G602-J602)*I602)</f>
        <v/>
      </c>
      <c r="M602" s="7">
        <f>IF(OR(G602="",H602="",I602="",F602=""),"",IF(F602="Long",(H602-G602)*I602,(G602-H602)*I602))</f>
        <v/>
      </c>
      <c r="N602" s="6">
        <f>IF(OR(M602="",L602="",L602=0),"",M602/L602)</f>
        <v/>
      </c>
      <c r="O602">
        <f>IF(M602="","",IF(M602&gt;0,"Win",IF(M602&lt;0,"Loss","Scratch")))</f>
        <v/>
      </c>
    </row>
    <row r="603">
      <c r="A603" s="5" t="n"/>
      <c r="G603" s="6" t="n"/>
      <c r="H603" s="6" t="n"/>
      <c r="J603" s="6" t="n"/>
      <c r="K603" s="6" t="n"/>
      <c r="L603" s="7">
        <f>IF(OR(G603="",J603="",I603=""),"",ABS(G603-J603)*I603)</f>
        <v/>
      </c>
      <c r="M603" s="7">
        <f>IF(OR(G603="",H603="",I603="",F603=""),"",IF(F603="Long",(H603-G603)*I603,(G603-H603)*I603))</f>
        <v/>
      </c>
      <c r="N603" s="6">
        <f>IF(OR(M603="",L603="",L603=0),"",M603/L603)</f>
        <v/>
      </c>
      <c r="O603">
        <f>IF(M603="","",IF(M603&gt;0,"Win",IF(M603&lt;0,"Loss","Scratch")))</f>
        <v/>
      </c>
    </row>
    <row r="604">
      <c r="A604" s="5" t="n"/>
      <c r="G604" s="6" t="n"/>
      <c r="H604" s="6" t="n"/>
      <c r="J604" s="6" t="n"/>
      <c r="K604" s="6" t="n"/>
      <c r="L604" s="7">
        <f>IF(OR(G604="",J604="",I604=""),"",ABS(G604-J604)*I604)</f>
        <v/>
      </c>
      <c r="M604" s="7">
        <f>IF(OR(G604="",H604="",I604="",F604=""),"",IF(F604="Long",(H604-G604)*I604,(G604-H604)*I604))</f>
        <v/>
      </c>
      <c r="N604" s="6">
        <f>IF(OR(M604="",L604="",L604=0),"",M604/L604)</f>
        <v/>
      </c>
      <c r="O604">
        <f>IF(M604="","",IF(M604&gt;0,"Win",IF(M604&lt;0,"Loss","Scratch")))</f>
        <v/>
      </c>
    </row>
    <row r="605">
      <c r="A605" s="5" t="n"/>
      <c r="G605" s="6" t="n"/>
      <c r="H605" s="6" t="n"/>
      <c r="J605" s="6" t="n"/>
      <c r="K605" s="6" t="n"/>
      <c r="L605" s="7">
        <f>IF(OR(G605="",J605="",I605=""),"",ABS(G605-J605)*I605)</f>
        <v/>
      </c>
      <c r="M605" s="7">
        <f>IF(OR(G605="",H605="",I605="",F605=""),"",IF(F605="Long",(H605-G605)*I605,(G605-H605)*I605))</f>
        <v/>
      </c>
      <c r="N605" s="6">
        <f>IF(OR(M605="",L605="",L605=0),"",M605/L605)</f>
        <v/>
      </c>
      <c r="O605">
        <f>IF(M605="","",IF(M605&gt;0,"Win",IF(M605&lt;0,"Loss","Scratch")))</f>
        <v/>
      </c>
    </row>
    <row r="606">
      <c r="A606" s="5" t="n"/>
      <c r="G606" s="6" t="n"/>
      <c r="H606" s="6" t="n"/>
      <c r="J606" s="6" t="n"/>
      <c r="K606" s="6" t="n"/>
      <c r="L606" s="7">
        <f>IF(OR(G606="",J606="",I606=""),"",ABS(G606-J606)*I606)</f>
        <v/>
      </c>
      <c r="M606" s="7">
        <f>IF(OR(G606="",H606="",I606="",F606=""),"",IF(F606="Long",(H606-G606)*I606,(G606-H606)*I606))</f>
        <v/>
      </c>
      <c r="N606" s="6">
        <f>IF(OR(M606="",L606="",L606=0),"",M606/L606)</f>
        <v/>
      </c>
      <c r="O606">
        <f>IF(M606="","",IF(M606&gt;0,"Win",IF(M606&lt;0,"Loss","Scratch")))</f>
        <v/>
      </c>
    </row>
    <row r="607">
      <c r="A607" s="5" t="n"/>
      <c r="G607" s="6" t="n"/>
      <c r="H607" s="6" t="n"/>
      <c r="J607" s="6" t="n"/>
      <c r="K607" s="6" t="n"/>
      <c r="L607" s="7">
        <f>IF(OR(G607="",J607="",I607=""),"",ABS(G607-J607)*I607)</f>
        <v/>
      </c>
      <c r="M607" s="7">
        <f>IF(OR(G607="",H607="",I607="",F607=""),"",IF(F607="Long",(H607-G607)*I607,(G607-H607)*I607))</f>
        <v/>
      </c>
      <c r="N607" s="6">
        <f>IF(OR(M607="",L607="",L607=0),"",M607/L607)</f>
        <v/>
      </c>
      <c r="O607">
        <f>IF(M607="","",IF(M607&gt;0,"Win",IF(M607&lt;0,"Loss","Scratch")))</f>
        <v/>
      </c>
    </row>
    <row r="608">
      <c r="A608" s="5" t="n"/>
      <c r="G608" s="6" t="n"/>
      <c r="H608" s="6" t="n"/>
      <c r="J608" s="6" t="n"/>
      <c r="K608" s="6" t="n"/>
      <c r="L608" s="7">
        <f>IF(OR(G608="",J608="",I608=""),"",ABS(G608-J608)*I608)</f>
        <v/>
      </c>
      <c r="M608" s="7">
        <f>IF(OR(G608="",H608="",I608="",F608=""),"",IF(F608="Long",(H608-G608)*I608,(G608-H608)*I608))</f>
        <v/>
      </c>
      <c r="N608" s="6">
        <f>IF(OR(M608="",L608="",L608=0),"",M608/L608)</f>
        <v/>
      </c>
      <c r="O608">
        <f>IF(M608="","",IF(M608&gt;0,"Win",IF(M608&lt;0,"Loss","Scratch")))</f>
        <v/>
      </c>
    </row>
    <row r="609">
      <c r="A609" s="5" t="n"/>
      <c r="G609" s="6" t="n"/>
      <c r="H609" s="6" t="n"/>
      <c r="J609" s="6" t="n"/>
      <c r="K609" s="6" t="n"/>
      <c r="L609" s="7">
        <f>IF(OR(G609="",J609="",I609=""),"",ABS(G609-J609)*I609)</f>
        <v/>
      </c>
      <c r="M609" s="7">
        <f>IF(OR(G609="",H609="",I609="",F609=""),"",IF(F609="Long",(H609-G609)*I609,(G609-H609)*I609))</f>
        <v/>
      </c>
      <c r="N609" s="6">
        <f>IF(OR(M609="",L609="",L609=0),"",M609/L609)</f>
        <v/>
      </c>
      <c r="O609">
        <f>IF(M609="","",IF(M609&gt;0,"Win",IF(M609&lt;0,"Loss","Scratch")))</f>
        <v/>
      </c>
    </row>
    <row r="610">
      <c r="A610" s="5" t="n"/>
      <c r="G610" s="6" t="n"/>
      <c r="H610" s="6" t="n"/>
      <c r="J610" s="6" t="n"/>
      <c r="K610" s="6" t="n"/>
      <c r="L610" s="7">
        <f>IF(OR(G610="",J610="",I610=""),"",ABS(G610-J610)*I610)</f>
        <v/>
      </c>
      <c r="M610" s="7">
        <f>IF(OR(G610="",H610="",I610="",F610=""),"",IF(F610="Long",(H610-G610)*I610,(G610-H610)*I610))</f>
        <v/>
      </c>
      <c r="N610" s="6">
        <f>IF(OR(M610="",L610="",L610=0),"",M610/L610)</f>
        <v/>
      </c>
      <c r="O610">
        <f>IF(M610="","",IF(M610&gt;0,"Win",IF(M610&lt;0,"Loss","Scratch")))</f>
        <v/>
      </c>
    </row>
    <row r="611">
      <c r="A611" s="5" t="n"/>
      <c r="G611" s="6" t="n"/>
      <c r="H611" s="6" t="n"/>
      <c r="J611" s="6" t="n"/>
      <c r="K611" s="6" t="n"/>
      <c r="L611" s="7">
        <f>IF(OR(G611="",J611="",I611=""),"",ABS(G611-J611)*I611)</f>
        <v/>
      </c>
      <c r="M611" s="7">
        <f>IF(OR(G611="",H611="",I611="",F611=""),"",IF(F611="Long",(H611-G611)*I611,(G611-H611)*I611))</f>
        <v/>
      </c>
      <c r="N611" s="6">
        <f>IF(OR(M611="",L611="",L611=0),"",M611/L611)</f>
        <v/>
      </c>
      <c r="O611">
        <f>IF(M611="","",IF(M611&gt;0,"Win",IF(M611&lt;0,"Loss","Scratch")))</f>
        <v/>
      </c>
    </row>
    <row r="612">
      <c r="A612" s="5" t="n"/>
      <c r="G612" s="6" t="n"/>
      <c r="H612" s="6" t="n"/>
      <c r="J612" s="6" t="n"/>
      <c r="K612" s="6" t="n"/>
      <c r="L612" s="7">
        <f>IF(OR(G612="",J612="",I612=""),"",ABS(G612-J612)*I612)</f>
        <v/>
      </c>
      <c r="M612" s="7">
        <f>IF(OR(G612="",H612="",I612="",F612=""),"",IF(F612="Long",(H612-G612)*I612,(G612-H612)*I612))</f>
        <v/>
      </c>
      <c r="N612" s="6">
        <f>IF(OR(M612="",L612="",L612=0),"",M612/L612)</f>
        <v/>
      </c>
      <c r="O612">
        <f>IF(M612="","",IF(M612&gt;0,"Win",IF(M612&lt;0,"Loss","Scratch")))</f>
        <v/>
      </c>
    </row>
    <row r="613">
      <c r="A613" s="5" t="n"/>
      <c r="G613" s="6" t="n"/>
      <c r="H613" s="6" t="n"/>
      <c r="J613" s="6" t="n"/>
      <c r="K613" s="6" t="n"/>
      <c r="L613" s="7">
        <f>IF(OR(G613="",J613="",I613=""),"",ABS(G613-J613)*I613)</f>
        <v/>
      </c>
      <c r="M613" s="7">
        <f>IF(OR(G613="",H613="",I613="",F613=""),"",IF(F613="Long",(H613-G613)*I613,(G613-H613)*I613))</f>
        <v/>
      </c>
      <c r="N613" s="6">
        <f>IF(OR(M613="",L613="",L613=0),"",M613/L613)</f>
        <v/>
      </c>
      <c r="O613">
        <f>IF(M613="","",IF(M613&gt;0,"Win",IF(M613&lt;0,"Loss","Scratch")))</f>
        <v/>
      </c>
    </row>
    <row r="614">
      <c r="A614" s="5" t="n"/>
      <c r="G614" s="6" t="n"/>
      <c r="H614" s="6" t="n"/>
      <c r="J614" s="6" t="n"/>
      <c r="K614" s="6" t="n"/>
      <c r="L614" s="7">
        <f>IF(OR(G614="",J614="",I614=""),"",ABS(G614-J614)*I614)</f>
        <v/>
      </c>
      <c r="M614" s="7">
        <f>IF(OR(G614="",H614="",I614="",F614=""),"",IF(F614="Long",(H614-G614)*I614,(G614-H614)*I614))</f>
        <v/>
      </c>
      <c r="N614" s="6">
        <f>IF(OR(M614="",L614="",L614=0),"",M614/L614)</f>
        <v/>
      </c>
      <c r="O614">
        <f>IF(M614="","",IF(M614&gt;0,"Win",IF(M614&lt;0,"Loss","Scratch")))</f>
        <v/>
      </c>
    </row>
    <row r="615">
      <c r="A615" s="5" t="n"/>
      <c r="G615" s="6" t="n"/>
      <c r="H615" s="6" t="n"/>
      <c r="J615" s="6" t="n"/>
      <c r="K615" s="6" t="n"/>
      <c r="L615" s="7">
        <f>IF(OR(G615="",J615="",I615=""),"",ABS(G615-J615)*I615)</f>
        <v/>
      </c>
      <c r="M615" s="7">
        <f>IF(OR(G615="",H615="",I615="",F615=""),"",IF(F615="Long",(H615-G615)*I615,(G615-H615)*I615))</f>
        <v/>
      </c>
      <c r="N615" s="6">
        <f>IF(OR(M615="",L615="",L615=0),"",M615/L615)</f>
        <v/>
      </c>
      <c r="O615">
        <f>IF(M615="","",IF(M615&gt;0,"Win",IF(M615&lt;0,"Loss","Scratch")))</f>
        <v/>
      </c>
    </row>
    <row r="616">
      <c r="A616" s="5" t="n"/>
      <c r="G616" s="6" t="n"/>
      <c r="H616" s="6" t="n"/>
      <c r="J616" s="6" t="n"/>
      <c r="K616" s="6" t="n"/>
      <c r="L616" s="7">
        <f>IF(OR(G616="",J616="",I616=""),"",ABS(G616-J616)*I616)</f>
        <v/>
      </c>
      <c r="M616" s="7">
        <f>IF(OR(G616="",H616="",I616="",F616=""),"",IF(F616="Long",(H616-G616)*I616,(G616-H616)*I616))</f>
        <v/>
      </c>
      <c r="N616" s="6">
        <f>IF(OR(M616="",L616="",L616=0),"",M616/L616)</f>
        <v/>
      </c>
      <c r="O616">
        <f>IF(M616="","",IF(M616&gt;0,"Win",IF(M616&lt;0,"Loss","Scratch")))</f>
        <v/>
      </c>
    </row>
    <row r="617">
      <c r="A617" s="5" t="n"/>
      <c r="G617" s="6" t="n"/>
      <c r="H617" s="6" t="n"/>
      <c r="J617" s="6" t="n"/>
      <c r="K617" s="6" t="n"/>
      <c r="L617" s="7">
        <f>IF(OR(G617="",J617="",I617=""),"",ABS(G617-J617)*I617)</f>
        <v/>
      </c>
      <c r="M617" s="7">
        <f>IF(OR(G617="",H617="",I617="",F617=""),"",IF(F617="Long",(H617-G617)*I617,(G617-H617)*I617))</f>
        <v/>
      </c>
      <c r="N617" s="6">
        <f>IF(OR(M617="",L617="",L617=0),"",M617/L617)</f>
        <v/>
      </c>
      <c r="O617">
        <f>IF(M617="","",IF(M617&gt;0,"Win",IF(M617&lt;0,"Loss","Scratch")))</f>
        <v/>
      </c>
    </row>
    <row r="618">
      <c r="A618" s="5" t="n"/>
      <c r="G618" s="6" t="n"/>
      <c r="H618" s="6" t="n"/>
      <c r="J618" s="6" t="n"/>
      <c r="K618" s="6" t="n"/>
      <c r="L618" s="7">
        <f>IF(OR(G618="",J618="",I618=""),"",ABS(G618-J618)*I618)</f>
        <v/>
      </c>
      <c r="M618" s="7">
        <f>IF(OR(G618="",H618="",I618="",F618=""),"",IF(F618="Long",(H618-G618)*I618,(G618-H618)*I618))</f>
        <v/>
      </c>
      <c r="N618" s="6">
        <f>IF(OR(M618="",L618="",L618=0),"",M618/L618)</f>
        <v/>
      </c>
      <c r="O618">
        <f>IF(M618="","",IF(M618&gt;0,"Win",IF(M618&lt;0,"Loss","Scratch")))</f>
        <v/>
      </c>
    </row>
    <row r="619">
      <c r="A619" s="5" t="n"/>
      <c r="G619" s="6" t="n"/>
      <c r="H619" s="6" t="n"/>
      <c r="J619" s="6" t="n"/>
      <c r="K619" s="6" t="n"/>
      <c r="L619" s="7">
        <f>IF(OR(G619="",J619="",I619=""),"",ABS(G619-J619)*I619)</f>
        <v/>
      </c>
      <c r="M619" s="7">
        <f>IF(OR(G619="",H619="",I619="",F619=""),"",IF(F619="Long",(H619-G619)*I619,(G619-H619)*I619))</f>
        <v/>
      </c>
      <c r="N619" s="6">
        <f>IF(OR(M619="",L619="",L619=0),"",M619/L619)</f>
        <v/>
      </c>
      <c r="O619">
        <f>IF(M619="","",IF(M619&gt;0,"Win",IF(M619&lt;0,"Loss","Scratch")))</f>
        <v/>
      </c>
    </row>
    <row r="620">
      <c r="A620" s="5" t="n"/>
      <c r="G620" s="6" t="n"/>
      <c r="H620" s="6" t="n"/>
      <c r="J620" s="6" t="n"/>
      <c r="K620" s="6" t="n"/>
      <c r="L620" s="7">
        <f>IF(OR(G620="",J620="",I620=""),"",ABS(G620-J620)*I620)</f>
        <v/>
      </c>
      <c r="M620" s="7">
        <f>IF(OR(G620="",H620="",I620="",F620=""),"",IF(F620="Long",(H620-G620)*I620,(G620-H620)*I620))</f>
        <v/>
      </c>
      <c r="N620" s="6">
        <f>IF(OR(M620="",L620="",L620=0),"",M620/L620)</f>
        <v/>
      </c>
      <c r="O620">
        <f>IF(M620="","",IF(M620&gt;0,"Win",IF(M620&lt;0,"Loss","Scratch")))</f>
        <v/>
      </c>
    </row>
    <row r="621">
      <c r="A621" s="5" t="n"/>
      <c r="G621" s="6" t="n"/>
      <c r="H621" s="6" t="n"/>
      <c r="J621" s="6" t="n"/>
      <c r="K621" s="6" t="n"/>
      <c r="L621" s="7">
        <f>IF(OR(G621="",J621="",I621=""),"",ABS(G621-J621)*I621)</f>
        <v/>
      </c>
      <c r="M621" s="7">
        <f>IF(OR(G621="",H621="",I621="",F621=""),"",IF(F621="Long",(H621-G621)*I621,(G621-H621)*I621))</f>
        <v/>
      </c>
      <c r="N621" s="6">
        <f>IF(OR(M621="",L621="",L621=0),"",M621/L621)</f>
        <v/>
      </c>
      <c r="O621">
        <f>IF(M621="","",IF(M621&gt;0,"Win",IF(M621&lt;0,"Loss","Scratch")))</f>
        <v/>
      </c>
    </row>
    <row r="622">
      <c r="A622" s="5" t="n"/>
      <c r="G622" s="6" t="n"/>
      <c r="H622" s="6" t="n"/>
      <c r="J622" s="6" t="n"/>
      <c r="K622" s="6" t="n"/>
      <c r="L622" s="7">
        <f>IF(OR(G622="",J622="",I622=""),"",ABS(G622-J622)*I622)</f>
        <v/>
      </c>
      <c r="M622" s="7">
        <f>IF(OR(G622="",H622="",I622="",F622=""),"",IF(F622="Long",(H622-G622)*I622,(G622-H622)*I622))</f>
        <v/>
      </c>
      <c r="N622" s="6">
        <f>IF(OR(M622="",L622="",L622=0),"",M622/L622)</f>
        <v/>
      </c>
      <c r="O622">
        <f>IF(M622="","",IF(M622&gt;0,"Win",IF(M622&lt;0,"Loss","Scratch")))</f>
        <v/>
      </c>
    </row>
    <row r="623">
      <c r="A623" s="5" t="n"/>
      <c r="G623" s="6" t="n"/>
      <c r="H623" s="6" t="n"/>
      <c r="J623" s="6" t="n"/>
      <c r="K623" s="6" t="n"/>
      <c r="L623" s="7">
        <f>IF(OR(G623="",J623="",I623=""),"",ABS(G623-J623)*I623)</f>
        <v/>
      </c>
      <c r="M623" s="7">
        <f>IF(OR(G623="",H623="",I623="",F623=""),"",IF(F623="Long",(H623-G623)*I623,(G623-H623)*I623))</f>
        <v/>
      </c>
      <c r="N623" s="6">
        <f>IF(OR(M623="",L623="",L623=0),"",M623/L623)</f>
        <v/>
      </c>
      <c r="O623">
        <f>IF(M623="","",IF(M623&gt;0,"Win",IF(M623&lt;0,"Loss","Scratch")))</f>
        <v/>
      </c>
    </row>
    <row r="624">
      <c r="A624" s="5" t="n"/>
      <c r="G624" s="6" t="n"/>
      <c r="H624" s="6" t="n"/>
      <c r="J624" s="6" t="n"/>
      <c r="K624" s="6" t="n"/>
      <c r="L624" s="7">
        <f>IF(OR(G624="",J624="",I624=""),"",ABS(G624-J624)*I624)</f>
        <v/>
      </c>
      <c r="M624" s="7">
        <f>IF(OR(G624="",H624="",I624="",F624=""),"",IF(F624="Long",(H624-G624)*I624,(G624-H624)*I624))</f>
        <v/>
      </c>
      <c r="N624" s="6">
        <f>IF(OR(M624="",L624="",L624=0),"",M624/L624)</f>
        <v/>
      </c>
      <c r="O624">
        <f>IF(M624="","",IF(M624&gt;0,"Win",IF(M624&lt;0,"Loss","Scratch")))</f>
        <v/>
      </c>
    </row>
    <row r="625">
      <c r="A625" s="5" t="n"/>
      <c r="G625" s="6" t="n"/>
      <c r="H625" s="6" t="n"/>
      <c r="J625" s="6" t="n"/>
      <c r="K625" s="6" t="n"/>
      <c r="L625" s="7">
        <f>IF(OR(G625="",J625="",I625=""),"",ABS(G625-J625)*I625)</f>
        <v/>
      </c>
      <c r="M625" s="7">
        <f>IF(OR(G625="",H625="",I625="",F625=""),"",IF(F625="Long",(H625-G625)*I625,(G625-H625)*I625))</f>
        <v/>
      </c>
      <c r="N625" s="6">
        <f>IF(OR(M625="",L625="",L625=0),"",M625/L625)</f>
        <v/>
      </c>
      <c r="O625">
        <f>IF(M625="","",IF(M625&gt;0,"Win",IF(M625&lt;0,"Loss","Scratch")))</f>
        <v/>
      </c>
    </row>
    <row r="626">
      <c r="A626" s="5" t="n"/>
      <c r="G626" s="6" t="n"/>
      <c r="H626" s="6" t="n"/>
      <c r="J626" s="6" t="n"/>
      <c r="K626" s="6" t="n"/>
      <c r="L626" s="7">
        <f>IF(OR(G626="",J626="",I626=""),"",ABS(G626-J626)*I626)</f>
        <v/>
      </c>
      <c r="M626" s="7">
        <f>IF(OR(G626="",H626="",I626="",F626=""),"",IF(F626="Long",(H626-G626)*I626,(G626-H626)*I626))</f>
        <v/>
      </c>
      <c r="N626" s="6">
        <f>IF(OR(M626="",L626="",L626=0),"",M626/L626)</f>
        <v/>
      </c>
      <c r="O626">
        <f>IF(M626="","",IF(M626&gt;0,"Win",IF(M626&lt;0,"Loss","Scratch")))</f>
        <v/>
      </c>
    </row>
    <row r="627">
      <c r="A627" s="5" t="n"/>
      <c r="G627" s="6" t="n"/>
      <c r="H627" s="6" t="n"/>
      <c r="J627" s="6" t="n"/>
      <c r="K627" s="6" t="n"/>
      <c r="L627" s="7">
        <f>IF(OR(G627="",J627="",I627=""),"",ABS(G627-J627)*I627)</f>
        <v/>
      </c>
      <c r="M627" s="7">
        <f>IF(OR(G627="",H627="",I627="",F627=""),"",IF(F627="Long",(H627-G627)*I627,(G627-H627)*I627))</f>
        <v/>
      </c>
      <c r="N627" s="6">
        <f>IF(OR(M627="",L627="",L627=0),"",M627/L627)</f>
        <v/>
      </c>
      <c r="O627">
        <f>IF(M627="","",IF(M627&gt;0,"Win",IF(M627&lt;0,"Loss","Scratch")))</f>
        <v/>
      </c>
    </row>
    <row r="628">
      <c r="A628" s="5" t="n"/>
      <c r="G628" s="6" t="n"/>
      <c r="H628" s="6" t="n"/>
      <c r="J628" s="6" t="n"/>
      <c r="K628" s="6" t="n"/>
      <c r="L628" s="7">
        <f>IF(OR(G628="",J628="",I628=""),"",ABS(G628-J628)*I628)</f>
        <v/>
      </c>
      <c r="M628" s="7">
        <f>IF(OR(G628="",H628="",I628="",F628=""),"",IF(F628="Long",(H628-G628)*I628,(G628-H628)*I628))</f>
        <v/>
      </c>
      <c r="N628" s="6">
        <f>IF(OR(M628="",L628="",L628=0),"",M628/L628)</f>
        <v/>
      </c>
      <c r="O628">
        <f>IF(M628="","",IF(M628&gt;0,"Win",IF(M628&lt;0,"Loss","Scratch")))</f>
        <v/>
      </c>
    </row>
    <row r="629">
      <c r="A629" s="5" t="n"/>
      <c r="G629" s="6" t="n"/>
      <c r="H629" s="6" t="n"/>
      <c r="J629" s="6" t="n"/>
      <c r="K629" s="6" t="n"/>
      <c r="L629" s="7">
        <f>IF(OR(G629="",J629="",I629=""),"",ABS(G629-J629)*I629)</f>
        <v/>
      </c>
      <c r="M629" s="7">
        <f>IF(OR(G629="",H629="",I629="",F629=""),"",IF(F629="Long",(H629-G629)*I629,(G629-H629)*I629))</f>
        <v/>
      </c>
      <c r="N629" s="6">
        <f>IF(OR(M629="",L629="",L629=0),"",M629/L629)</f>
        <v/>
      </c>
      <c r="O629">
        <f>IF(M629="","",IF(M629&gt;0,"Win",IF(M629&lt;0,"Loss","Scratch")))</f>
        <v/>
      </c>
    </row>
    <row r="630">
      <c r="A630" s="5" t="n"/>
      <c r="G630" s="6" t="n"/>
      <c r="H630" s="6" t="n"/>
      <c r="J630" s="6" t="n"/>
      <c r="K630" s="6" t="n"/>
      <c r="L630" s="7">
        <f>IF(OR(G630="",J630="",I630=""),"",ABS(G630-J630)*I630)</f>
        <v/>
      </c>
      <c r="M630" s="7">
        <f>IF(OR(G630="",H630="",I630="",F630=""),"",IF(F630="Long",(H630-G630)*I630,(G630-H630)*I630))</f>
        <v/>
      </c>
      <c r="N630" s="6">
        <f>IF(OR(M630="",L630="",L630=0),"",M630/L630)</f>
        <v/>
      </c>
      <c r="O630">
        <f>IF(M630="","",IF(M630&gt;0,"Win",IF(M630&lt;0,"Loss","Scratch")))</f>
        <v/>
      </c>
    </row>
    <row r="631">
      <c r="A631" s="5" t="n"/>
      <c r="G631" s="6" t="n"/>
      <c r="H631" s="6" t="n"/>
      <c r="J631" s="6" t="n"/>
      <c r="K631" s="6" t="n"/>
      <c r="L631" s="7">
        <f>IF(OR(G631="",J631="",I631=""),"",ABS(G631-J631)*I631)</f>
        <v/>
      </c>
      <c r="M631" s="7">
        <f>IF(OR(G631="",H631="",I631="",F631=""),"",IF(F631="Long",(H631-G631)*I631,(G631-H631)*I631))</f>
        <v/>
      </c>
      <c r="N631" s="6">
        <f>IF(OR(M631="",L631="",L631=0),"",M631/L631)</f>
        <v/>
      </c>
      <c r="O631">
        <f>IF(M631="","",IF(M631&gt;0,"Win",IF(M631&lt;0,"Loss","Scratch")))</f>
        <v/>
      </c>
    </row>
    <row r="632">
      <c r="A632" s="5" t="n"/>
      <c r="G632" s="6" t="n"/>
      <c r="H632" s="6" t="n"/>
      <c r="J632" s="6" t="n"/>
      <c r="K632" s="6" t="n"/>
      <c r="L632" s="7">
        <f>IF(OR(G632="",J632="",I632=""),"",ABS(G632-J632)*I632)</f>
        <v/>
      </c>
      <c r="M632" s="7">
        <f>IF(OR(G632="",H632="",I632="",F632=""),"",IF(F632="Long",(H632-G632)*I632,(G632-H632)*I632))</f>
        <v/>
      </c>
      <c r="N632" s="6">
        <f>IF(OR(M632="",L632="",L632=0),"",M632/L632)</f>
        <v/>
      </c>
      <c r="O632">
        <f>IF(M632="","",IF(M632&gt;0,"Win",IF(M632&lt;0,"Loss","Scratch")))</f>
        <v/>
      </c>
    </row>
    <row r="633">
      <c r="A633" s="5" t="n"/>
      <c r="G633" s="6" t="n"/>
      <c r="H633" s="6" t="n"/>
      <c r="J633" s="6" t="n"/>
      <c r="K633" s="6" t="n"/>
      <c r="L633" s="7">
        <f>IF(OR(G633="",J633="",I633=""),"",ABS(G633-J633)*I633)</f>
        <v/>
      </c>
      <c r="M633" s="7">
        <f>IF(OR(G633="",H633="",I633="",F633=""),"",IF(F633="Long",(H633-G633)*I633,(G633-H633)*I633))</f>
        <v/>
      </c>
      <c r="N633" s="6">
        <f>IF(OR(M633="",L633="",L633=0),"",M633/L633)</f>
        <v/>
      </c>
      <c r="O633">
        <f>IF(M633="","",IF(M633&gt;0,"Win",IF(M633&lt;0,"Loss","Scratch")))</f>
        <v/>
      </c>
    </row>
    <row r="634">
      <c r="A634" s="5" t="n"/>
      <c r="G634" s="6" t="n"/>
      <c r="H634" s="6" t="n"/>
      <c r="J634" s="6" t="n"/>
      <c r="K634" s="6" t="n"/>
      <c r="L634" s="7">
        <f>IF(OR(G634="",J634="",I634=""),"",ABS(G634-J634)*I634)</f>
        <v/>
      </c>
      <c r="M634" s="7">
        <f>IF(OR(G634="",H634="",I634="",F634=""),"",IF(F634="Long",(H634-G634)*I634,(G634-H634)*I634))</f>
        <v/>
      </c>
      <c r="N634" s="6">
        <f>IF(OR(M634="",L634="",L634=0),"",M634/L634)</f>
        <v/>
      </c>
      <c r="O634">
        <f>IF(M634="","",IF(M634&gt;0,"Win",IF(M634&lt;0,"Loss","Scratch")))</f>
        <v/>
      </c>
    </row>
    <row r="635">
      <c r="A635" s="5" t="n"/>
      <c r="G635" s="6" t="n"/>
      <c r="H635" s="6" t="n"/>
      <c r="J635" s="6" t="n"/>
      <c r="K635" s="6" t="n"/>
      <c r="L635" s="7">
        <f>IF(OR(G635="",J635="",I635=""),"",ABS(G635-J635)*I635)</f>
        <v/>
      </c>
      <c r="M635" s="7">
        <f>IF(OR(G635="",H635="",I635="",F635=""),"",IF(F635="Long",(H635-G635)*I635,(G635-H635)*I635))</f>
        <v/>
      </c>
      <c r="N635" s="6">
        <f>IF(OR(M635="",L635="",L635=0),"",M635/L635)</f>
        <v/>
      </c>
      <c r="O635">
        <f>IF(M635="","",IF(M635&gt;0,"Win",IF(M635&lt;0,"Loss","Scratch")))</f>
        <v/>
      </c>
    </row>
    <row r="636">
      <c r="A636" s="5" t="n"/>
      <c r="G636" s="6" t="n"/>
      <c r="H636" s="6" t="n"/>
      <c r="J636" s="6" t="n"/>
      <c r="K636" s="6" t="n"/>
      <c r="L636" s="7">
        <f>IF(OR(G636="",J636="",I636=""),"",ABS(G636-J636)*I636)</f>
        <v/>
      </c>
      <c r="M636" s="7">
        <f>IF(OR(G636="",H636="",I636="",F636=""),"",IF(F636="Long",(H636-G636)*I636,(G636-H636)*I636))</f>
        <v/>
      </c>
      <c r="N636" s="6">
        <f>IF(OR(M636="",L636="",L636=0),"",M636/L636)</f>
        <v/>
      </c>
      <c r="O636">
        <f>IF(M636="","",IF(M636&gt;0,"Win",IF(M636&lt;0,"Loss","Scratch")))</f>
        <v/>
      </c>
    </row>
    <row r="637">
      <c r="A637" s="5" t="n"/>
      <c r="G637" s="6" t="n"/>
      <c r="H637" s="6" t="n"/>
      <c r="J637" s="6" t="n"/>
      <c r="K637" s="6" t="n"/>
      <c r="L637" s="7">
        <f>IF(OR(G637="",J637="",I637=""),"",ABS(G637-J637)*I637)</f>
        <v/>
      </c>
      <c r="M637" s="7">
        <f>IF(OR(G637="",H637="",I637="",F637=""),"",IF(F637="Long",(H637-G637)*I637,(G637-H637)*I637))</f>
        <v/>
      </c>
      <c r="N637" s="6">
        <f>IF(OR(M637="",L637="",L637=0),"",M637/L637)</f>
        <v/>
      </c>
      <c r="O637">
        <f>IF(M637="","",IF(M637&gt;0,"Win",IF(M637&lt;0,"Loss","Scratch")))</f>
        <v/>
      </c>
    </row>
    <row r="638">
      <c r="A638" s="5" t="n"/>
      <c r="G638" s="6" t="n"/>
      <c r="H638" s="6" t="n"/>
      <c r="J638" s="6" t="n"/>
      <c r="K638" s="6" t="n"/>
      <c r="L638" s="7">
        <f>IF(OR(G638="",J638="",I638=""),"",ABS(G638-J638)*I638)</f>
        <v/>
      </c>
      <c r="M638" s="7">
        <f>IF(OR(G638="",H638="",I638="",F638=""),"",IF(F638="Long",(H638-G638)*I638,(G638-H638)*I638))</f>
        <v/>
      </c>
      <c r="N638" s="6">
        <f>IF(OR(M638="",L638="",L638=0),"",M638/L638)</f>
        <v/>
      </c>
      <c r="O638">
        <f>IF(M638="","",IF(M638&gt;0,"Win",IF(M638&lt;0,"Loss","Scratch")))</f>
        <v/>
      </c>
    </row>
    <row r="639">
      <c r="A639" s="5" t="n"/>
      <c r="G639" s="6" t="n"/>
      <c r="H639" s="6" t="n"/>
      <c r="J639" s="6" t="n"/>
      <c r="K639" s="6" t="n"/>
      <c r="L639" s="7">
        <f>IF(OR(G639="",J639="",I639=""),"",ABS(G639-J639)*I639)</f>
        <v/>
      </c>
      <c r="M639" s="7">
        <f>IF(OR(G639="",H639="",I639="",F639=""),"",IF(F639="Long",(H639-G639)*I639,(G639-H639)*I639))</f>
        <v/>
      </c>
      <c r="N639" s="6">
        <f>IF(OR(M639="",L639="",L639=0),"",M639/L639)</f>
        <v/>
      </c>
      <c r="O639">
        <f>IF(M639="","",IF(M639&gt;0,"Win",IF(M639&lt;0,"Loss","Scratch")))</f>
        <v/>
      </c>
    </row>
    <row r="640">
      <c r="A640" s="5" t="n"/>
      <c r="G640" s="6" t="n"/>
      <c r="H640" s="6" t="n"/>
      <c r="J640" s="6" t="n"/>
      <c r="K640" s="6" t="n"/>
      <c r="L640" s="7">
        <f>IF(OR(G640="",J640="",I640=""),"",ABS(G640-J640)*I640)</f>
        <v/>
      </c>
      <c r="M640" s="7">
        <f>IF(OR(G640="",H640="",I640="",F640=""),"",IF(F640="Long",(H640-G640)*I640,(G640-H640)*I640))</f>
        <v/>
      </c>
      <c r="N640" s="6">
        <f>IF(OR(M640="",L640="",L640=0),"",M640/L640)</f>
        <v/>
      </c>
      <c r="O640">
        <f>IF(M640="","",IF(M640&gt;0,"Win",IF(M640&lt;0,"Loss","Scratch")))</f>
        <v/>
      </c>
    </row>
    <row r="641">
      <c r="A641" s="5" t="n"/>
      <c r="G641" s="6" t="n"/>
      <c r="H641" s="6" t="n"/>
      <c r="J641" s="6" t="n"/>
      <c r="K641" s="6" t="n"/>
      <c r="L641" s="7">
        <f>IF(OR(G641="",J641="",I641=""),"",ABS(G641-J641)*I641)</f>
        <v/>
      </c>
      <c r="M641" s="7">
        <f>IF(OR(G641="",H641="",I641="",F641=""),"",IF(F641="Long",(H641-G641)*I641,(G641-H641)*I641))</f>
        <v/>
      </c>
      <c r="N641" s="6">
        <f>IF(OR(M641="",L641="",L641=0),"",M641/L641)</f>
        <v/>
      </c>
      <c r="O641">
        <f>IF(M641="","",IF(M641&gt;0,"Win",IF(M641&lt;0,"Loss","Scratch")))</f>
        <v/>
      </c>
    </row>
    <row r="642">
      <c r="A642" s="5" t="n"/>
      <c r="G642" s="6" t="n"/>
      <c r="H642" s="6" t="n"/>
      <c r="J642" s="6" t="n"/>
      <c r="K642" s="6" t="n"/>
      <c r="L642" s="7">
        <f>IF(OR(G642="",J642="",I642=""),"",ABS(G642-J642)*I642)</f>
        <v/>
      </c>
      <c r="M642" s="7">
        <f>IF(OR(G642="",H642="",I642="",F642=""),"",IF(F642="Long",(H642-G642)*I642,(G642-H642)*I642))</f>
        <v/>
      </c>
      <c r="N642" s="6">
        <f>IF(OR(M642="",L642="",L642=0),"",M642/L642)</f>
        <v/>
      </c>
      <c r="O642">
        <f>IF(M642="","",IF(M642&gt;0,"Win",IF(M642&lt;0,"Loss","Scratch")))</f>
        <v/>
      </c>
    </row>
    <row r="643">
      <c r="A643" s="5" t="n"/>
      <c r="G643" s="6" t="n"/>
      <c r="H643" s="6" t="n"/>
      <c r="J643" s="6" t="n"/>
      <c r="K643" s="6" t="n"/>
      <c r="L643" s="7">
        <f>IF(OR(G643="",J643="",I643=""),"",ABS(G643-J643)*I643)</f>
        <v/>
      </c>
      <c r="M643" s="7">
        <f>IF(OR(G643="",H643="",I643="",F643=""),"",IF(F643="Long",(H643-G643)*I643,(G643-H643)*I643))</f>
        <v/>
      </c>
      <c r="N643" s="6">
        <f>IF(OR(M643="",L643="",L643=0),"",M643/L643)</f>
        <v/>
      </c>
      <c r="O643">
        <f>IF(M643="","",IF(M643&gt;0,"Win",IF(M643&lt;0,"Loss","Scratch")))</f>
        <v/>
      </c>
    </row>
    <row r="644">
      <c r="A644" s="5" t="n"/>
      <c r="G644" s="6" t="n"/>
      <c r="H644" s="6" t="n"/>
      <c r="J644" s="6" t="n"/>
      <c r="K644" s="6" t="n"/>
      <c r="L644" s="7">
        <f>IF(OR(G644="",J644="",I644=""),"",ABS(G644-J644)*I644)</f>
        <v/>
      </c>
      <c r="M644" s="7">
        <f>IF(OR(G644="",H644="",I644="",F644=""),"",IF(F644="Long",(H644-G644)*I644,(G644-H644)*I644))</f>
        <v/>
      </c>
      <c r="N644" s="6">
        <f>IF(OR(M644="",L644="",L644=0),"",M644/L644)</f>
        <v/>
      </c>
      <c r="O644">
        <f>IF(M644="","",IF(M644&gt;0,"Win",IF(M644&lt;0,"Loss","Scratch")))</f>
        <v/>
      </c>
    </row>
    <row r="645">
      <c r="A645" s="5" t="n"/>
      <c r="G645" s="6" t="n"/>
      <c r="H645" s="6" t="n"/>
      <c r="J645" s="6" t="n"/>
      <c r="K645" s="6" t="n"/>
      <c r="L645" s="7">
        <f>IF(OR(G645="",J645="",I645=""),"",ABS(G645-J645)*I645)</f>
        <v/>
      </c>
      <c r="M645" s="7">
        <f>IF(OR(G645="",H645="",I645="",F645=""),"",IF(F645="Long",(H645-G645)*I645,(G645-H645)*I645))</f>
        <v/>
      </c>
      <c r="N645" s="6">
        <f>IF(OR(M645="",L645="",L645=0),"",M645/L645)</f>
        <v/>
      </c>
      <c r="O645">
        <f>IF(M645="","",IF(M645&gt;0,"Win",IF(M645&lt;0,"Loss","Scratch")))</f>
        <v/>
      </c>
    </row>
    <row r="646">
      <c r="A646" s="5" t="n"/>
      <c r="G646" s="6" t="n"/>
      <c r="H646" s="6" t="n"/>
      <c r="J646" s="6" t="n"/>
      <c r="K646" s="6" t="n"/>
      <c r="L646" s="7">
        <f>IF(OR(G646="",J646="",I646=""),"",ABS(G646-J646)*I646)</f>
        <v/>
      </c>
      <c r="M646" s="7">
        <f>IF(OR(G646="",H646="",I646="",F646=""),"",IF(F646="Long",(H646-G646)*I646,(G646-H646)*I646))</f>
        <v/>
      </c>
      <c r="N646" s="6">
        <f>IF(OR(M646="",L646="",L646=0),"",M646/L646)</f>
        <v/>
      </c>
      <c r="O646">
        <f>IF(M646="","",IF(M646&gt;0,"Win",IF(M646&lt;0,"Loss","Scratch")))</f>
        <v/>
      </c>
    </row>
    <row r="647">
      <c r="A647" s="5" t="n"/>
      <c r="G647" s="6" t="n"/>
      <c r="H647" s="6" t="n"/>
      <c r="J647" s="6" t="n"/>
      <c r="K647" s="6" t="n"/>
      <c r="L647" s="7">
        <f>IF(OR(G647="",J647="",I647=""),"",ABS(G647-J647)*I647)</f>
        <v/>
      </c>
      <c r="M647" s="7">
        <f>IF(OR(G647="",H647="",I647="",F647=""),"",IF(F647="Long",(H647-G647)*I647,(G647-H647)*I647))</f>
        <v/>
      </c>
      <c r="N647" s="6">
        <f>IF(OR(M647="",L647="",L647=0),"",M647/L647)</f>
        <v/>
      </c>
      <c r="O647">
        <f>IF(M647="","",IF(M647&gt;0,"Win",IF(M647&lt;0,"Loss","Scratch")))</f>
        <v/>
      </c>
    </row>
    <row r="648">
      <c r="A648" s="5" t="n"/>
      <c r="G648" s="6" t="n"/>
      <c r="H648" s="6" t="n"/>
      <c r="J648" s="6" t="n"/>
      <c r="K648" s="6" t="n"/>
      <c r="L648" s="7">
        <f>IF(OR(G648="",J648="",I648=""),"",ABS(G648-J648)*I648)</f>
        <v/>
      </c>
      <c r="M648" s="7">
        <f>IF(OR(G648="",H648="",I648="",F648=""),"",IF(F648="Long",(H648-G648)*I648,(G648-H648)*I648))</f>
        <v/>
      </c>
      <c r="N648" s="6">
        <f>IF(OR(M648="",L648="",L648=0),"",M648/L648)</f>
        <v/>
      </c>
      <c r="O648">
        <f>IF(M648="","",IF(M648&gt;0,"Win",IF(M648&lt;0,"Loss","Scratch")))</f>
        <v/>
      </c>
    </row>
    <row r="649">
      <c r="A649" s="5" t="n"/>
      <c r="G649" s="6" t="n"/>
      <c r="H649" s="6" t="n"/>
      <c r="J649" s="6" t="n"/>
      <c r="K649" s="6" t="n"/>
      <c r="L649" s="7">
        <f>IF(OR(G649="",J649="",I649=""),"",ABS(G649-J649)*I649)</f>
        <v/>
      </c>
      <c r="M649" s="7">
        <f>IF(OR(G649="",H649="",I649="",F649=""),"",IF(F649="Long",(H649-G649)*I649,(G649-H649)*I649))</f>
        <v/>
      </c>
      <c r="N649" s="6">
        <f>IF(OR(M649="",L649="",L649=0),"",M649/L649)</f>
        <v/>
      </c>
      <c r="O649">
        <f>IF(M649="","",IF(M649&gt;0,"Win",IF(M649&lt;0,"Loss","Scratch")))</f>
        <v/>
      </c>
    </row>
    <row r="650">
      <c r="A650" s="5" t="n"/>
      <c r="G650" s="6" t="n"/>
      <c r="H650" s="6" t="n"/>
      <c r="J650" s="6" t="n"/>
      <c r="K650" s="6" t="n"/>
      <c r="L650" s="7">
        <f>IF(OR(G650="",J650="",I650=""),"",ABS(G650-J650)*I650)</f>
        <v/>
      </c>
      <c r="M650" s="7">
        <f>IF(OR(G650="",H650="",I650="",F650=""),"",IF(F650="Long",(H650-G650)*I650,(G650-H650)*I650))</f>
        <v/>
      </c>
      <c r="N650" s="6">
        <f>IF(OR(M650="",L650="",L650=0),"",M650/L650)</f>
        <v/>
      </c>
      <c r="O650">
        <f>IF(M650="","",IF(M650&gt;0,"Win",IF(M650&lt;0,"Loss","Scratch")))</f>
        <v/>
      </c>
    </row>
    <row r="651">
      <c r="A651" s="5" t="n"/>
      <c r="G651" s="6" t="n"/>
      <c r="H651" s="6" t="n"/>
      <c r="J651" s="6" t="n"/>
      <c r="K651" s="6" t="n"/>
      <c r="L651" s="7">
        <f>IF(OR(G651="",J651="",I651=""),"",ABS(G651-J651)*I651)</f>
        <v/>
      </c>
      <c r="M651" s="7">
        <f>IF(OR(G651="",H651="",I651="",F651=""),"",IF(F651="Long",(H651-G651)*I651,(G651-H651)*I651))</f>
        <v/>
      </c>
      <c r="N651" s="6">
        <f>IF(OR(M651="",L651="",L651=0),"",M651/L651)</f>
        <v/>
      </c>
      <c r="O651">
        <f>IF(M651="","",IF(M651&gt;0,"Win",IF(M651&lt;0,"Loss","Scratch")))</f>
        <v/>
      </c>
    </row>
    <row r="652">
      <c r="A652" s="5" t="n"/>
      <c r="G652" s="6" t="n"/>
      <c r="H652" s="6" t="n"/>
      <c r="J652" s="6" t="n"/>
      <c r="K652" s="6" t="n"/>
      <c r="L652" s="7">
        <f>IF(OR(G652="",J652="",I652=""),"",ABS(G652-J652)*I652)</f>
        <v/>
      </c>
      <c r="M652" s="7">
        <f>IF(OR(G652="",H652="",I652="",F652=""),"",IF(F652="Long",(H652-G652)*I652,(G652-H652)*I652))</f>
        <v/>
      </c>
      <c r="N652" s="6">
        <f>IF(OR(M652="",L652="",L652=0),"",M652/L652)</f>
        <v/>
      </c>
      <c r="O652">
        <f>IF(M652="","",IF(M652&gt;0,"Win",IF(M652&lt;0,"Loss","Scratch")))</f>
        <v/>
      </c>
    </row>
    <row r="653">
      <c r="A653" s="5" t="n"/>
      <c r="G653" s="6" t="n"/>
      <c r="H653" s="6" t="n"/>
      <c r="J653" s="6" t="n"/>
      <c r="K653" s="6" t="n"/>
      <c r="L653" s="7">
        <f>IF(OR(G653="",J653="",I653=""),"",ABS(G653-J653)*I653)</f>
        <v/>
      </c>
      <c r="M653" s="7">
        <f>IF(OR(G653="",H653="",I653="",F653=""),"",IF(F653="Long",(H653-G653)*I653,(G653-H653)*I653))</f>
        <v/>
      </c>
      <c r="N653" s="6">
        <f>IF(OR(M653="",L653="",L653=0),"",M653/L653)</f>
        <v/>
      </c>
      <c r="O653">
        <f>IF(M653="","",IF(M653&gt;0,"Win",IF(M653&lt;0,"Loss","Scratch")))</f>
        <v/>
      </c>
    </row>
    <row r="654">
      <c r="A654" s="5" t="n"/>
      <c r="G654" s="6" t="n"/>
      <c r="H654" s="6" t="n"/>
      <c r="J654" s="6" t="n"/>
      <c r="K654" s="6" t="n"/>
      <c r="L654" s="7">
        <f>IF(OR(G654="",J654="",I654=""),"",ABS(G654-J654)*I654)</f>
        <v/>
      </c>
      <c r="M654" s="7">
        <f>IF(OR(G654="",H654="",I654="",F654=""),"",IF(F654="Long",(H654-G654)*I654,(G654-H654)*I654))</f>
        <v/>
      </c>
      <c r="N654" s="6">
        <f>IF(OR(M654="",L654="",L654=0),"",M654/L654)</f>
        <v/>
      </c>
      <c r="O654">
        <f>IF(M654="","",IF(M654&gt;0,"Win",IF(M654&lt;0,"Loss","Scratch")))</f>
        <v/>
      </c>
    </row>
    <row r="655">
      <c r="A655" s="5" t="n"/>
      <c r="G655" s="6" t="n"/>
      <c r="H655" s="6" t="n"/>
      <c r="J655" s="6" t="n"/>
      <c r="K655" s="6" t="n"/>
      <c r="L655" s="7">
        <f>IF(OR(G655="",J655="",I655=""),"",ABS(G655-J655)*I655)</f>
        <v/>
      </c>
      <c r="M655" s="7">
        <f>IF(OR(G655="",H655="",I655="",F655=""),"",IF(F655="Long",(H655-G655)*I655,(G655-H655)*I655))</f>
        <v/>
      </c>
      <c r="N655" s="6">
        <f>IF(OR(M655="",L655="",L655=0),"",M655/L655)</f>
        <v/>
      </c>
      <c r="O655">
        <f>IF(M655="","",IF(M655&gt;0,"Win",IF(M655&lt;0,"Loss","Scratch")))</f>
        <v/>
      </c>
    </row>
    <row r="656">
      <c r="A656" s="5" t="n"/>
      <c r="G656" s="6" t="n"/>
      <c r="H656" s="6" t="n"/>
      <c r="J656" s="6" t="n"/>
      <c r="K656" s="6" t="n"/>
      <c r="L656" s="7">
        <f>IF(OR(G656="",J656="",I656=""),"",ABS(G656-J656)*I656)</f>
        <v/>
      </c>
      <c r="M656" s="7">
        <f>IF(OR(G656="",H656="",I656="",F656=""),"",IF(F656="Long",(H656-G656)*I656,(G656-H656)*I656))</f>
        <v/>
      </c>
      <c r="N656" s="6">
        <f>IF(OR(M656="",L656="",L656=0),"",M656/L656)</f>
        <v/>
      </c>
      <c r="O656">
        <f>IF(M656="","",IF(M656&gt;0,"Win",IF(M656&lt;0,"Loss","Scratch")))</f>
        <v/>
      </c>
    </row>
    <row r="657">
      <c r="A657" s="5" t="n"/>
      <c r="G657" s="6" t="n"/>
      <c r="H657" s="6" t="n"/>
      <c r="J657" s="6" t="n"/>
      <c r="K657" s="6" t="n"/>
      <c r="L657" s="7">
        <f>IF(OR(G657="",J657="",I657=""),"",ABS(G657-J657)*I657)</f>
        <v/>
      </c>
      <c r="M657" s="7">
        <f>IF(OR(G657="",H657="",I657="",F657=""),"",IF(F657="Long",(H657-G657)*I657,(G657-H657)*I657))</f>
        <v/>
      </c>
      <c r="N657" s="6">
        <f>IF(OR(M657="",L657="",L657=0),"",M657/L657)</f>
        <v/>
      </c>
      <c r="O657">
        <f>IF(M657="","",IF(M657&gt;0,"Win",IF(M657&lt;0,"Loss","Scratch")))</f>
        <v/>
      </c>
    </row>
    <row r="658">
      <c r="A658" s="5" t="n"/>
      <c r="G658" s="6" t="n"/>
      <c r="H658" s="6" t="n"/>
      <c r="J658" s="6" t="n"/>
      <c r="K658" s="6" t="n"/>
      <c r="L658" s="7">
        <f>IF(OR(G658="",J658="",I658=""),"",ABS(G658-J658)*I658)</f>
        <v/>
      </c>
      <c r="M658" s="7">
        <f>IF(OR(G658="",H658="",I658="",F658=""),"",IF(F658="Long",(H658-G658)*I658,(G658-H658)*I658))</f>
        <v/>
      </c>
      <c r="N658" s="6">
        <f>IF(OR(M658="",L658="",L658=0),"",M658/L658)</f>
        <v/>
      </c>
      <c r="O658">
        <f>IF(M658="","",IF(M658&gt;0,"Win",IF(M658&lt;0,"Loss","Scratch")))</f>
        <v/>
      </c>
    </row>
    <row r="659">
      <c r="A659" s="5" t="n"/>
      <c r="G659" s="6" t="n"/>
      <c r="H659" s="6" t="n"/>
      <c r="J659" s="6" t="n"/>
      <c r="K659" s="6" t="n"/>
      <c r="L659" s="7">
        <f>IF(OR(G659="",J659="",I659=""),"",ABS(G659-J659)*I659)</f>
        <v/>
      </c>
      <c r="M659" s="7">
        <f>IF(OR(G659="",H659="",I659="",F659=""),"",IF(F659="Long",(H659-G659)*I659,(G659-H659)*I659))</f>
        <v/>
      </c>
      <c r="N659" s="6">
        <f>IF(OR(M659="",L659="",L659=0),"",M659/L659)</f>
        <v/>
      </c>
      <c r="O659">
        <f>IF(M659="","",IF(M659&gt;0,"Win",IF(M659&lt;0,"Loss","Scratch")))</f>
        <v/>
      </c>
    </row>
    <row r="660">
      <c r="A660" s="5" t="n"/>
      <c r="G660" s="6" t="n"/>
      <c r="H660" s="6" t="n"/>
      <c r="J660" s="6" t="n"/>
      <c r="K660" s="6" t="n"/>
      <c r="L660" s="7">
        <f>IF(OR(G660="",J660="",I660=""),"",ABS(G660-J660)*I660)</f>
        <v/>
      </c>
      <c r="M660" s="7">
        <f>IF(OR(G660="",H660="",I660="",F660=""),"",IF(F660="Long",(H660-G660)*I660,(G660-H660)*I660))</f>
        <v/>
      </c>
      <c r="N660" s="6">
        <f>IF(OR(M660="",L660="",L660=0),"",M660/L660)</f>
        <v/>
      </c>
      <c r="O660">
        <f>IF(M660="","",IF(M660&gt;0,"Win",IF(M660&lt;0,"Loss","Scratch")))</f>
        <v/>
      </c>
    </row>
    <row r="661">
      <c r="A661" s="5" t="n"/>
      <c r="G661" s="6" t="n"/>
      <c r="H661" s="6" t="n"/>
      <c r="J661" s="6" t="n"/>
      <c r="K661" s="6" t="n"/>
      <c r="L661" s="7">
        <f>IF(OR(G661="",J661="",I661=""),"",ABS(G661-J661)*I661)</f>
        <v/>
      </c>
      <c r="M661" s="7">
        <f>IF(OR(G661="",H661="",I661="",F661=""),"",IF(F661="Long",(H661-G661)*I661,(G661-H661)*I661))</f>
        <v/>
      </c>
      <c r="N661" s="6">
        <f>IF(OR(M661="",L661="",L661=0),"",M661/L661)</f>
        <v/>
      </c>
      <c r="O661">
        <f>IF(M661="","",IF(M661&gt;0,"Win",IF(M661&lt;0,"Loss","Scratch")))</f>
        <v/>
      </c>
    </row>
    <row r="662">
      <c r="A662" s="5" t="n"/>
      <c r="G662" s="6" t="n"/>
      <c r="H662" s="6" t="n"/>
      <c r="J662" s="6" t="n"/>
      <c r="K662" s="6" t="n"/>
      <c r="L662" s="7">
        <f>IF(OR(G662="",J662="",I662=""),"",ABS(G662-J662)*I662)</f>
        <v/>
      </c>
      <c r="M662" s="7">
        <f>IF(OR(G662="",H662="",I662="",F662=""),"",IF(F662="Long",(H662-G662)*I662,(G662-H662)*I662))</f>
        <v/>
      </c>
      <c r="N662" s="6">
        <f>IF(OR(M662="",L662="",L662=0),"",M662/L662)</f>
        <v/>
      </c>
      <c r="O662">
        <f>IF(M662="","",IF(M662&gt;0,"Win",IF(M662&lt;0,"Loss","Scratch")))</f>
        <v/>
      </c>
    </row>
    <row r="663">
      <c r="A663" s="5" t="n"/>
      <c r="G663" s="6" t="n"/>
      <c r="H663" s="6" t="n"/>
      <c r="J663" s="6" t="n"/>
      <c r="K663" s="6" t="n"/>
      <c r="L663" s="7">
        <f>IF(OR(G663="",J663="",I663=""),"",ABS(G663-J663)*I663)</f>
        <v/>
      </c>
      <c r="M663" s="7">
        <f>IF(OR(G663="",H663="",I663="",F663=""),"",IF(F663="Long",(H663-G663)*I663,(G663-H663)*I663))</f>
        <v/>
      </c>
      <c r="N663" s="6">
        <f>IF(OR(M663="",L663="",L663=0),"",M663/L663)</f>
        <v/>
      </c>
      <c r="O663">
        <f>IF(M663="","",IF(M663&gt;0,"Win",IF(M663&lt;0,"Loss","Scratch")))</f>
        <v/>
      </c>
    </row>
    <row r="664">
      <c r="A664" s="5" t="n"/>
      <c r="G664" s="6" t="n"/>
      <c r="H664" s="6" t="n"/>
      <c r="J664" s="6" t="n"/>
      <c r="K664" s="6" t="n"/>
      <c r="L664" s="7">
        <f>IF(OR(G664="",J664="",I664=""),"",ABS(G664-J664)*I664)</f>
        <v/>
      </c>
      <c r="M664" s="7">
        <f>IF(OR(G664="",H664="",I664="",F664=""),"",IF(F664="Long",(H664-G664)*I664,(G664-H664)*I664))</f>
        <v/>
      </c>
      <c r="N664" s="6">
        <f>IF(OR(M664="",L664="",L664=0),"",M664/L664)</f>
        <v/>
      </c>
      <c r="O664">
        <f>IF(M664="","",IF(M664&gt;0,"Win",IF(M664&lt;0,"Loss","Scratch")))</f>
        <v/>
      </c>
    </row>
    <row r="665">
      <c r="A665" s="5" t="n"/>
      <c r="G665" s="6" t="n"/>
      <c r="H665" s="6" t="n"/>
      <c r="J665" s="6" t="n"/>
      <c r="K665" s="6" t="n"/>
      <c r="L665" s="7">
        <f>IF(OR(G665="",J665="",I665=""),"",ABS(G665-J665)*I665)</f>
        <v/>
      </c>
      <c r="M665" s="7">
        <f>IF(OR(G665="",H665="",I665="",F665=""),"",IF(F665="Long",(H665-G665)*I665,(G665-H665)*I665))</f>
        <v/>
      </c>
      <c r="N665" s="6">
        <f>IF(OR(M665="",L665="",L665=0),"",M665/L665)</f>
        <v/>
      </c>
      <c r="O665">
        <f>IF(M665="","",IF(M665&gt;0,"Win",IF(M665&lt;0,"Loss","Scratch")))</f>
        <v/>
      </c>
    </row>
    <row r="666">
      <c r="A666" s="5" t="n"/>
      <c r="G666" s="6" t="n"/>
      <c r="H666" s="6" t="n"/>
      <c r="J666" s="6" t="n"/>
      <c r="K666" s="6" t="n"/>
      <c r="L666" s="7">
        <f>IF(OR(G666="",J666="",I666=""),"",ABS(G666-J666)*I666)</f>
        <v/>
      </c>
      <c r="M666" s="7">
        <f>IF(OR(G666="",H666="",I666="",F666=""),"",IF(F666="Long",(H666-G666)*I666,(G666-H666)*I666))</f>
        <v/>
      </c>
      <c r="N666" s="6">
        <f>IF(OR(M666="",L666="",L666=0),"",M666/L666)</f>
        <v/>
      </c>
      <c r="O666">
        <f>IF(M666="","",IF(M666&gt;0,"Win",IF(M666&lt;0,"Loss","Scratch")))</f>
        <v/>
      </c>
    </row>
    <row r="667">
      <c r="A667" s="5" t="n"/>
      <c r="G667" s="6" t="n"/>
      <c r="H667" s="6" t="n"/>
      <c r="J667" s="6" t="n"/>
      <c r="K667" s="6" t="n"/>
      <c r="L667" s="7">
        <f>IF(OR(G667="",J667="",I667=""),"",ABS(G667-J667)*I667)</f>
        <v/>
      </c>
      <c r="M667" s="7">
        <f>IF(OR(G667="",H667="",I667="",F667=""),"",IF(F667="Long",(H667-G667)*I667,(G667-H667)*I667))</f>
        <v/>
      </c>
      <c r="N667" s="6">
        <f>IF(OR(M667="",L667="",L667=0),"",M667/L667)</f>
        <v/>
      </c>
      <c r="O667">
        <f>IF(M667="","",IF(M667&gt;0,"Win",IF(M667&lt;0,"Loss","Scratch")))</f>
        <v/>
      </c>
    </row>
    <row r="668">
      <c r="A668" s="5" t="n"/>
      <c r="G668" s="6" t="n"/>
      <c r="H668" s="6" t="n"/>
      <c r="J668" s="6" t="n"/>
      <c r="K668" s="6" t="n"/>
      <c r="L668" s="7">
        <f>IF(OR(G668="",J668="",I668=""),"",ABS(G668-J668)*I668)</f>
        <v/>
      </c>
      <c r="M668" s="7">
        <f>IF(OR(G668="",H668="",I668="",F668=""),"",IF(F668="Long",(H668-G668)*I668,(G668-H668)*I668))</f>
        <v/>
      </c>
      <c r="N668" s="6">
        <f>IF(OR(M668="",L668="",L668=0),"",M668/L668)</f>
        <v/>
      </c>
      <c r="O668">
        <f>IF(M668="","",IF(M668&gt;0,"Win",IF(M668&lt;0,"Loss","Scratch")))</f>
        <v/>
      </c>
    </row>
    <row r="669">
      <c r="A669" s="5" t="n"/>
      <c r="G669" s="6" t="n"/>
      <c r="H669" s="6" t="n"/>
      <c r="J669" s="6" t="n"/>
      <c r="K669" s="6" t="n"/>
      <c r="L669" s="7">
        <f>IF(OR(G669="",J669="",I669=""),"",ABS(G669-J669)*I669)</f>
        <v/>
      </c>
      <c r="M669" s="7">
        <f>IF(OR(G669="",H669="",I669="",F669=""),"",IF(F669="Long",(H669-G669)*I669,(G669-H669)*I669))</f>
        <v/>
      </c>
      <c r="N669" s="6">
        <f>IF(OR(M669="",L669="",L669=0),"",M669/L669)</f>
        <v/>
      </c>
      <c r="O669">
        <f>IF(M669="","",IF(M669&gt;0,"Win",IF(M669&lt;0,"Loss","Scratch")))</f>
        <v/>
      </c>
    </row>
    <row r="670">
      <c r="A670" s="5" t="n"/>
      <c r="G670" s="6" t="n"/>
      <c r="H670" s="6" t="n"/>
      <c r="J670" s="6" t="n"/>
      <c r="K670" s="6" t="n"/>
      <c r="L670" s="7">
        <f>IF(OR(G670="",J670="",I670=""),"",ABS(G670-J670)*I670)</f>
        <v/>
      </c>
      <c r="M670" s="7">
        <f>IF(OR(G670="",H670="",I670="",F670=""),"",IF(F670="Long",(H670-G670)*I670,(G670-H670)*I670))</f>
        <v/>
      </c>
      <c r="N670" s="6">
        <f>IF(OR(M670="",L670="",L670=0),"",M670/L670)</f>
        <v/>
      </c>
      <c r="O670">
        <f>IF(M670="","",IF(M670&gt;0,"Win",IF(M670&lt;0,"Loss","Scratch")))</f>
        <v/>
      </c>
    </row>
    <row r="671">
      <c r="A671" s="5" t="n"/>
      <c r="G671" s="6" t="n"/>
      <c r="H671" s="6" t="n"/>
      <c r="J671" s="6" t="n"/>
      <c r="K671" s="6" t="n"/>
      <c r="L671" s="7">
        <f>IF(OR(G671="",J671="",I671=""),"",ABS(G671-J671)*I671)</f>
        <v/>
      </c>
      <c r="M671" s="7">
        <f>IF(OR(G671="",H671="",I671="",F671=""),"",IF(F671="Long",(H671-G671)*I671,(G671-H671)*I671))</f>
        <v/>
      </c>
      <c r="N671" s="6">
        <f>IF(OR(M671="",L671="",L671=0),"",M671/L671)</f>
        <v/>
      </c>
      <c r="O671">
        <f>IF(M671="","",IF(M671&gt;0,"Win",IF(M671&lt;0,"Loss","Scratch")))</f>
        <v/>
      </c>
    </row>
    <row r="672">
      <c r="A672" s="5" t="n"/>
      <c r="G672" s="6" t="n"/>
      <c r="H672" s="6" t="n"/>
      <c r="J672" s="6" t="n"/>
      <c r="K672" s="6" t="n"/>
      <c r="L672" s="7">
        <f>IF(OR(G672="",J672="",I672=""),"",ABS(G672-J672)*I672)</f>
        <v/>
      </c>
      <c r="M672" s="7">
        <f>IF(OR(G672="",H672="",I672="",F672=""),"",IF(F672="Long",(H672-G672)*I672,(G672-H672)*I672))</f>
        <v/>
      </c>
      <c r="N672" s="6">
        <f>IF(OR(M672="",L672="",L672=0),"",M672/L672)</f>
        <v/>
      </c>
      <c r="O672">
        <f>IF(M672="","",IF(M672&gt;0,"Win",IF(M672&lt;0,"Loss","Scratch")))</f>
        <v/>
      </c>
    </row>
    <row r="673">
      <c r="A673" s="5" t="n"/>
      <c r="G673" s="6" t="n"/>
      <c r="H673" s="6" t="n"/>
      <c r="J673" s="6" t="n"/>
      <c r="K673" s="6" t="n"/>
      <c r="L673" s="7">
        <f>IF(OR(G673="",J673="",I673=""),"",ABS(G673-J673)*I673)</f>
        <v/>
      </c>
      <c r="M673" s="7">
        <f>IF(OR(G673="",H673="",I673="",F673=""),"",IF(F673="Long",(H673-G673)*I673,(G673-H673)*I673))</f>
        <v/>
      </c>
      <c r="N673" s="6">
        <f>IF(OR(M673="",L673="",L673=0),"",M673/L673)</f>
        <v/>
      </c>
      <c r="O673">
        <f>IF(M673="","",IF(M673&gt;0,"Win",IF(M673&lt;0,"Loss","Scratch")))</f>
        <v/>
      </c>
    </row>
    <row r="674">
      <c r="A674" s="5" t="n"/>
      <c r="G674" s="6" t="n"/>
      <c r="H674" s="6" t="n"/>
      <c r="J674" s="6" t="n"/>
      <c r="K674" s="6" t="n"/>
      <c r="L674" s="7">
        <f>IF(OR(G674="",J674="",I674=""),"",ABS(G674-J674)*I674)</f>
        <v/>
      </c>
      <c r="M674" s="7">
        <f>IF(OR(G674="",H674="",I674="",F674=""),"",IF(F674="Long",(H674-G674)*I674,(G674-H674)*I674))</f>
        <v/>
      </c>
      <c r="N674" s="6">
        <f>IF(OR(M674="",L674="",L674=0),"",M674/L674)</f>
        <v/>
      </c>
      <c r="O674">
        <f>IF(M674="","",IF(M674&gt;0,"Win",IF(M674&lt;0,"Loss","Scratch")))</f>
        <v/>
      </c>
    </row>
    <row r="675">
      <c r="A675" s="5" t="n"/>
      <c r="G675" s="6" t="n"/>
      <c r="H675" s="6" t="n"/>
      <c r="J675" s="6" t="n"/>
      <c r="K675" s="6" t="n"/>
      <c r="L675" s="7">
        <f>IF(OR(G675="",J675="",I675=""),"",ABS(G675-J675)*I675)</f>
        <v/>
      </c>
      <c r="M675" s="7">
        <f>IF(OR(G675="",H675="",I675="",F675=""),"",IF(F675="Long",(H675-G675)*I675,(G675-H675)*I675))</f>
        <v/>
      </c>
      <c r="N675" s="6">
        <f>IF(OR(M675="",L675="",L675=0),"",M675/L675)</f>
        <v/>
      </c>
      <c r="O675">
        <f>IF(M675="","",IF(M675&gt;0,"Win",IF(M675&lt;0,"Loss","Scratch")))</f>
        <v/>
      </c>
    </row>
    <row r="676">
      <c r="A676" s="5" t="n"/>
      <c r="G676" s="6" t="n"/>
      <c r="H676" s="6" t="n"/>
      <c r="J676" s="6" t="n"/>
      <c r="K676" s="6" t="n"/>
      <c r="L676" s="7">
        <f>IF(OR(G676="",J676="",I676=""),"",ABS(G676-J676)*I676)</f>
        <v/>
      </c>
      <c r="M676" s="7">
        <f>IF(OR(G676="",H676="",I676="",F676=""),"",IF(F676="Long",(H676-G676)*I676,(G676-H676)*I676))</f>
        <v/>
      </c>
      <c r="N676" s="6">
        <f>IF(OR(M676="",L676="",L676=0),"",M676/L676)</f>
        <v/>
      </c>
      <c r="O676">
        <f>IF(M676="","",IF(M676&gt;0,"Win",IF(M676&lt;0,"Loss","Scratch")))</f>
        <v/>
      </c>
    </row>
    <row r="677">
      <c r="A677" s="5" t="n"/>
      <c r="G677" s="6" t="n"/>
      <c r="H677" s="6" t="n"/>
      <c r="J677" s="6" t="n"/>
      <c r="K677" s="6" t="n"/>
      <c r="L677" s="7">
        <f>IF(OR(G677="",J677="",I677=""),"",ABS(G677-J677)*I677)</f>
        <v/>
      </c>
      <c r="M677" s="7">
        <f>IF(OR(G677="",H677="",I677="",F677=""),"",IF(F677="Long",(H677-G677)*I677,(G677-H677)*I677))</f>
        <v/>
      </c>
      <c r="N677" s="6">
        <f>IF(OR(M677="",L677="",L677=0),"",M677/L677)</f>
        <v/>
      </c>
      <c r="O677">
        <f>IF(M677="","",IF(M677&gt;0,"Win",IF(M677&lt;0,"Loss","Scratch")))</f>
        <v/>
      </c>
    </row>
    <row r="678">
      <c r="A678" s="5" t="n"/>
      <c r="G678" s="6" t="n"/>
      <c r="H678" s="6" t="n"/>
      <c r="J678" s="6" t="n"/>
      <c r="K678" s="6" t="n"/>
      <c r="L678" s="7">
        <f>IF(OR(G678="",J678="",I678=""),"",ABS(G678-J678)*I678)</f>
        <v/>
      </c>
      <c r="M678" s="7">
        <f>IF(OR(G678="",H678="",I678="",F678=""),"",IF(F678="Long",(H678-G678)*I678,(G678-H678)*I678))</f>
        <v/>
      </c>
      <c r="N678" s="6">
        <f>IF(OR(M678="",L678="",L678=0),"",M678/L678)</f>
        <v/>
      </c>
      <c r="O678">
        <f>IF(M678="","",IF(M678&gt;0,"Win",IF(M678&lt;0,"Loss","Scratch")))</f>
        <v/>
      </c>
    </row>
    <row r="679">
      <c r="A679" s="5" t="n"/>
      <c r="G679" s="6" t="n"/>
      <c r="H679" s="6" t="n"/>
      <c r="J679" s="6" t="n"/>
      <c r="K679" s="6" t="n"/>
      <c r="L679" s="7">
        <f>IF(OR(G679="",J679="",I679=""),"",ABS(G679-J679)*I679)</f>
        <v/>
      </c>
      <c r="M679" s="7">
        <f>IF(OR(G679="",H679="",I679="",F679=""),"",IF(F679="Long",(H679-G679)*I679,(G679-H679)*I679))</f>
        <v/>
      </c>
      <c r="N679" s="6">
        <f>IF(OR(M679="",L679="",L679=0),"",M679/L679)</f>
        <v/>
      </c>
      <c r="O679">
        <f>IF(M679="","",IF(M679&gt;0,"Win",IF(M679&lt;0,"Loss","Scratch")))</f>
        <v/>
      </c>
    </row>
    <row r="680">
      <c r="A680" s="5" t="n"/>
      <c r="G680" s="6" t="n"/>
      <c r="H680" s="6" t="n"/>
      <c r="J680" s="6" t="n"/>
      <c r="K680" s="6" t="n"/>
      <c r="L680" s="7">
        <f>IF(OR(G680="",J680="",I680=""),"",ABS(G680-J680)*I680)</f>
        <v/>
      </c>
      <c r="M680" s="7">
        <f>IF(OR(G680="",H680="",I680="",F680=""),"",IF(F680="Long",(H680-G680)*I680,(G680-H680)*I680))</f>
        <v/>
      </c>
      <c r="N680" s="6">
        <f>IF(OR(M680="",L680="",L680=0),"",M680/L680)</f>
        <v/>
      </c>
      <c r="O680">
        <f>IF(M680="","",IF(M680&gt;0,"Win",IF(M680&lt;0,"Loss","Scratch")))</f>
        <v/>
      </c>
    </row>
    <row r="681">
      <c r="A681" s="5" t="n"/>
      <c r="G681" s="6" t="n"/>
      <c r="H681" s="6" t="n"/>
      <c r="J681" s="6" t="n"/>
      <c r="K681" s="6" t="n"/>
      <c r="L681" s="7">
        <f>IF(OR(G681="",J681="",I681=""),"",ABS(G681-J681)*I681)</f>
        <v/>
      </c>
      <c r="M681" s="7">
        <f>IF(OR(G681="",H681="",I681="",F681=""),"",IF(F681="Long",(H681-G681)*I681,(G681-H681)*I681))</f>
        <v/>
      </c>
      <c r="N681" s="6">
        <f>IF(OR(M681="",L681="",L681=0),"",M681/L681)</f>
        <v/>
      </c>
      <c r="O681">
        <f>IF(M681="","",IF(M681&gt;0,"Win",IF(M681&lt;0,"Loss","Scratch")))</f>
        <v/>
      </c>
    </row>
    <row r="682">
      <c r="A682" s="5" t="n"/>
      <c r="G682" s="6" t="n"/>
      <c r="H682" s="6" t="n"/>
      <c r="J682" s="6" t="n"/>
      <c r="K682" s="6" t="n"/>
      <c r="L682" s="7">
        <f>IF(OR(G682="",J682="",I682=""),"",ABS(G682-J682)*I682)</f>
        <v/>
      </c>
      <c r="M682" s="7">
        <f>IF(OR(G682="",H682="",I682="",F682=""),"",IF(F682="Long",(H682-G682)*I682,(G682-H682)*I682))</f>
        <v/>
      </c>
      <c r="N682" s="6">
        <f>IF(OR(M682="",L682="",L682=0),"",M682/L682)</f>
        <v/>
      </c>
      <c r="O682">
        <f>IF(M682="","",IF(M682&gt;0,"Win",IF(M682&lt;0,"Loss","Scratch")))</f>
        <v/>
      </c>
    </row>
    <row r="683">
      <c r="A683" s="5" t="n"/>
      <c r="G683" s="6" t="n"/>
      <c r="H683" s="6" t="n"/>
      <c r="J683" s="6" t="n"/>
      <c r="K683" s="6" t="n"/>
      <c r="L683" s="7">
        <f>IF(OR(G683="",J683="",I683=""),"",ABS(G683-J683)*I683)</f>
        <v/>
      </c>
      <c r="M683" s="7">
        <f>IF(OR(G683="",H683="",I683="",F683=""),"",IF(F683="Long",(H683-G683)*I683,(G683-H683)*I683))</f>
        <v/>
      </c>
      <c r="N683" s="6">
        <f>IF(OR(M683="",L683="",L683=0),"",M683/L683)</f>
        <v/>
      </c>
      <c r="O683">
        <f>IF(M683="","",IF(M683&gt;0,"Win",IF(M683&lt;0,"Loss","Scratch")))</f>
        <v/>
      </c>
    </row>
    <row r="684">
      <c r="A684" s="5" t="n"/>
      <c r="G684" s="6" t="n"/>
      <c r="H684" s="6" t="n"/>
      <c r="J684" s="6" t="n"/>
      <c r="K684" s="6" t="n"/>
      <c r="L684" s="7">
        <f>IF(OR(G684="",J684="",I684=""),"",ABS(G684-J684)*I684)</f>
        <v/>
      </c>
      <c r="M684" s="7">
        <f>IF(OR(G684="",H684="",I684="",F684=""),"",IF(F684="Long",(H684-G684)*I684,(G684-H684)*I684))</f>
        <v/>
      </c>
      <c r="N684" s="6">
        <f>IF(OR(M684="",L684="",L684=0),"",M684/L684)</f>
        <v/>
      </c>
      <c r="O684">
        <f>IF(M684="","",IF(M684&gt;0,"Win",IF(M684&lt;0,"Loss","Scratch")))</f>
        <v/>
      </c>
    </row>
    <row r="685">
      <c r="A685" s="5" t="n"/>
      <c r="G685" s="6" t="n"/>
      <c r="H685" s="6" t="n"/>
      <c r="J685" s="6" t="n"/>
      <c r="K685" s="6" t="n"/>
      <c r="L685" s="7">
        <f>IF(OR(G685="",J685="",I685=""),"",ABS(G685-J685)*I685)</f>
        <v/>
      </c>
      <c r="M685" s="7">
        <f>IF(OR(G685="",H685="",I685="",F685=""),"",IF(F685="Long",(H685-G685)*I685,(G685-H685)*I685))</f>
        <v/>
      </c>
      <c r="N685" s="6">
        <f>IF(OR(M685="",L685="",L685=0),"",M685/L685)</f>
        <v/>
      </c>
      <c r="O685">
        <f>IF(M685="","",IF(M685&gt;0,"Win",IF(M685&lt;0,"Loss","Scratch")))</f>
        <v/>
      </c>
    </row>
    <row r="686">
      <c r="A686" s="5" t="n"/>
      <c r="G686" s="6" t="n"/>
      <c r="H686" s="6" t="n"/>
      <c r="J686" s="6" t="n"/>
      <c r="K686" s="6" t="n"/>
      <c r="L686" s="7">
        <f>IF(OR(G686="",J686="",I686=""),"",ABS(G686-J686)*I686)</f>
        <v/>
      </c>
      <c r="M686" s="7">
        <f>IF(OR(G686="",H686="",I686="",F686=""),"",IF(F686="Long",(H686-G686)*I686,(G686-H686)*I686))</f>
        <v/>
      </c>
      <c r="N686" s="6">
        <f>IF(OR(M686="",L686="",L686=0),"",M686/L686)</f>
        <v/>
      </c>
      <c r="O686">
        <f>IF(M686="","",IF(M686&gt;0,"Win",IF(M686&lt;0,"Loss","Scratch")))</f>
        <v/>
      </c>
    </row>
    <row r="687">
      <c r="A687" s="5" t="n"/>
      <c r="G687" s="6" t="n"/>
      <c r="H687" s="6" t="n"/>
      <c r="J687" s="6" t="n"/>
      <c r="K687" s="6" t="n"/>
      <c r="L687" s="7">
        <f>IF(OR(G687="",J687="",I687=""),"",ABS(G687-J687)*I687)</f>
        <v/>
      </c>
      <c r="M687" s="7">
        <f>IF(OR(G687="",H687="",I687="",F687=""),"",IF(F687="Long",(H687-G687)*I687,(G687-H687)*I687))</f>
        <v/>
      </c>
      <c r="N687" s="6">
        <f>IF(OR(M687="",L687="",L687=0),"",M687/L687)</f>
        <v/>
      </c>
      <c r="O687">
        <f>IF(M687="","",IF(M687&gt;0,"Win",IF(M687&lt;0,"Loss","Scratch")))</f>
        <v/>
      </c>
    </row>
    <row r="688">
      <c r="A688" s="5" t="n"/>
      <c r="G688" s="6" t="n"/>
      <c r="H688" s="6" t="n"/>
      <c r="J688" s="6" t="n"/>
      <c r="K688" s="6" t="n"/>
      <c r="L688" s="7">
        <f>IF(OR(G688="",J688="",I688=""),"",ABS(G688-J688)*I688)</f>
        <v/>
      </c>
      <c r="M688" s="7">
        <f>IF(OR(G688="",H688="",I688="",F688=""),"",IF(F688="Long",(H688-G688)*I688,(G688-H688)*I688))</f>
        <v/>
      </c>
      <c r="N688" s="6">
        <f>IF(OR(M688="",L688="",L688=0),"",M688/L688)</f>
        <v/>
      </c>
      <c r="O688">
        <f>IF(M688="","",IF(M688&gt;0,"Win",IF(M688&lt;0,"Loss","Scratch")))</f>
        <v/>
      </c>
    </row>
    <row r="689">
      <c r="A689" s="5" t="n"/>
      <c r="G689" s="6" t="n"/>
      <c r="H689" s="6" t="n"/>
      <c r="J689" s="6" t="n"/>
      <c r="K689" s="6" t="n"/>
      <c r="L689" s="7">
        <f>IF(OR(G689="",J689="",I689=""),"",ABS(G689-J689)*I689)</f>
        <v/>
      </c>
      <c r="M689" s="7">
        <f>IF(OR(G689="",H689="",I689="",F689=""),"",IF(F689="Long",(H689-G689)*I689,(G689-H689)*I689))</f>
        <v/>
      </c>
      <c r="N689" s="6">
        <f>IF(OR(M689="",L689="",L689=0),"",M689/L689)</f>
        <v/>
      </c>
      <c r="O689">
        <f>IF(M689="","",IF(M689&gt;0,"Win",IF(M689&lt;0,"Loss","Scratch")))</f>
        <v/>
      </c>
    </row>
    <row r="690">
      <c r="A690" s="5" t="n"/>
      <c r="G690" s="6" t="n"/>
      <c r="H690" s="6" t="n"/>
      <c r="J690" s="6" t="n"/>
      <c r="K690" s="6" t="n"/>
      <c r="L690" s="7">
        <f>IF(OR(G690="",J690="",I690=""),"",ABS(G690-J690)*I690)</f>
        <v/>
      </c>
      <c r="M690" s="7">
        <f>IF(OR(G690="",H690="",I690="",F690=""),"",IF(F690="Long",(H690-G690)*I690,(G690-H690)*I690))</f>
        <v/>
      </c>
      <c r="N690" s="6">
        <f>IF(OR(M690="",L690="",L690=0),"",M690/L690)</f>
        <v/>
      </c>
      <c r="O690">
        <f>IF(M690="","",IF(M690&gt;0,"Win",IF(M690&lt;0,"Loss","Scratch")))</f>
        <v/>
      </c>
    </row>
    <row r="691">
      <c r="A691" s="5" t="n"/>
      <c r="G691" s="6" t="n"/>
      <c r="H691" s="6" t="n"/>
      <c r="J691" s="6" t="n"/>
      <c r="K691" s="6" t="n"/>
      <c r="L691" s="7">
        <f>IF(OR(G691="",J691="",I691=""),"",ABS(G691-J691)*I691)</f>
        <v/>
      </c>
      <c r="M691" s="7">
        <f>IF(OR(G691="",H691="",I691="",F691=""),"",IF(F691="Long",(H691-G691)*I691,(G691-H691)*I691))</f>
        <v/>
      </c>
      <c r="N691" s="6">
        <f>IF(OR(M691="",L691="",L691=0),"",M691/L691)</f>
        <v/>
      </c>
      <c r="O691">
        <f>IF(M691="","",IF(M691&gt;0,"Win",IF(M691&lt;0,"Loss","Scratch")))</f>
        <v/>
      </c>
    </row>
    <row r="692">
      <c r="A692" s="5" t="n"/>
      <c r="G692" s="6" t="n"/>
      <c r="H692" s="6" t="n"/>
      <c r="J692" s="6" t="n"/>
      <c r="K692" s="6" t="n"/>
      <c r="L692" s="7">
        <f>IF(OR(G692="",J692="",I692=""),"",ABS(G692-J692)*I692)</f>
        <v/>
      </c>
      <c r="M692" s="7">
        <f>IF(OR(G692="",H692="",I692="",F692=""),"",IF(F692="Long",(H692-G692)*I692,(G692-H692)*I692))</f>
        <v/>
      </c>
      <c r="N692" s="6">
        <f>IF(OR(M692="",L692="",L692=0),"",M692/L692)</f>
        <v/>
      </c>
      <c r="O692">
        <f>IF(M692="","",IF(M692&gt;0,"Win",IF(M692&lt;0,"Loss","Scratch")))</f>
        <v/>
      </c>
    </row>
    <row r="693">
      <c r="A693" s="5" t="n"/>
      <c r="G693" s="6" t="n"/>
      <c r="H693" s="6" t="n"/>
      <c r="J693" s="6" t="n"/>
      <c r="K693" s="6" t="n"/>
      <c r="L693" s="7">
        <f>IF(OR(G693="",J693="",I693=""),"",ABS(G693-J693)*I693)</f>
        <v/>
      </c>
      <c r="M693" s="7">
        <f>IF(OR(G693="",H693="",I693="",F693=""),"",IF(F693="Long",(H693-G693)*I693,(G693-H693)*I693))</f>
        <v/>
      </c>
      <c r="N693" s="6">
        <f>IF(OR(M693="",L693="",L693=0),"",M693/L693)</f>
        <v/>
      </c>
      <c r="O693">
        <f>IF(M693="","",IF(M693&gt;0,"Win",IF(M693&lt;0,"Loss","Scratch")))</f>
        <v/>
      </c>
    </row>
    <row r="694">
      <c r="A694" s="5" t="n"/>
      <c r="G694" s="6" t="n"/>
      <c r="H694" s="6" t="n"/>
      <c r="J694" s="6" t="n"/>
      <c r="K694" s="6" t="n"/>
      <c r="L694" s="7">
        <f>IF(OR(G694="",J694="",I694=""),"",ABS(G694-J694)*I694)</f>
        <v/>
      </c>
      <c r="M694" s="7">
        <f>IF(OR(G694="",H694="",I694="",F694=""),"",IF(F694="Long",(H694-G694)*I694,(G694-H694)*I694))</f>
        <v/>
      </c>
      <c r="N694" s="6">
        <f>IF(OR(M694="",L694="",L694=0),"",M694/L694)</f>
        <v/>
      </c>
      <c r="O694">
        <f>IF(M694="","",IF(M694&gt;0,"Win",IF(M694&lt;0,"Loss","Scratch")))</f>
        <v/>
      </c>
    </row>
    <row r="695">
      <c r="A695" s="5" t="n"/>
      <c r="G695" s="6" t="n"/>
      <c r="H695" s="6" t="n"/>
      <c r="J695" s="6" t="n"/>
      <c r="K695" s="6" t="n"/>
      <c r="L695" s="7">
        <f>IF(OR(G695="",J695="",I695=""),"",ABS(G695-J695)*I695)</f>
        <v/>
      </c>
      <c r="M695" s="7">
        <f>IF(OR(G695="",H695="",I695="",F695=""),"",IF(F695="Long",(H695-G695)*I695,(G695-H695)*I695))</f>
        <v/>
      </c>
      <c r="N695" s="6">
        <f>IF(OR(M695="",L695="",L695=0),"",M695/L695)</f>
        <v/>
      </c>
      <c r="O695">
        <f>IF(M695="","",IF(M695&gt;0,"Win",IF(M695&lt;0,"Loss","Scratch")))</f>
        <v/>
      </c>
    </row>
    <row r="696">
      <c r="A696" s="5" t="n"/>
      <c r="G696" s="6" t="n"/>
      <c r="H696" s="6" t="n"/>
      <c r="J696" s="6" t="n"/>
      <c r="K696" s="6" t="n"/>
      <c r="L696" s="7">
        <f>IF(OR(G696="",J696="",I696=""),"",ABS(G696-J696)*I696)</f>
        <v/>
      </c>
      <c r="M696" s="7">
        <f>IF(OR(G696="",H696="",I696="",F696=""),"",IF(F696="Long",(H696-G696)*I696,(G696-H696)*I696))</f>
        <v/>
      </c>
      <c r="N696" s="6">
        <f>IF(OR(M696="",L696="",L696=0),"",M696/L696)</f>
        <v/>
      </c>
      <c r="O696">
        <f>IF(M696="","",IF(M696&gt;0,"Win",IF(M696&lt;0,"Loss","Scratch")))</f>
        <v/>
      </c>
    </row>
    <row r="697">
      <c r="A697" s="5" t="n"/>
      <c r="G697" s="6" t="n"/>
      <c r="H697" s="6" t="n"/>
      <c r="J697" s="6" t="n"/>
      <c r="K697" s="6" t="n"/>
      <c r="L697" s="7">
        <f>IF(OR(G697="",J697="",I697=""),"",ABS(G697-J697)*I697)</f>
        <v/>
      </c>
      <c r="M697" s="7">
        <f>IF(OR(G697="",H697="",I697="",F697=""),"",IF(F697="Long",(H697-G697)*I697,(G697-H697)*I697))</f>
        <v/>
      </c>
      <c r="N697" s="6">
        <f>IF(OR(M697="",L697="",L697=0),"",M697/L697)</f>
        <v/>
      </c>
      <c r="O697">
        <f>IF(M697="","",IF(M697&gt;0,"Win",IF(M697&lt;0,"Loss","Scratch")))</f>
        <v/>
      </c>
    </row>
    <row r="698">
      <c r="A698" s="5" t="n"/>
      <c r="G698" s="6" t="n"/>
      <c r="H698" s="6" t="n"/>
      <c r="J698" s="6" t="n"/>
      <c r="K698" s="6" t="n"/>
      <c r="L698" s="7">
        <f>IF(OR(G698="",J698="",I698=""),"",ABS(G698-J698)*I698)</f>
        <v/>
      </c>
      <c r="M698" s="7">
        <f>IF(OR(G698="",H698="",I698="",F698=""),"",IF(F698="Long",(H698-G698)*I698,(G698-H698)*I698))</f>
        <v/>
      </c>
      <c r="N698" s="6">
        <f>IF(OR(M698="",L698="",L698=0),"",M698/L698)</f>
        <v/>
      </c>
      <c r="O698">
        <f>IF(M698="","",IF(M698&gt;0,"Win",IF(M698&lt;0,"Loss","Scratch")))</f>
        <v/>
      </c>
    </row>
    <row r="699">
      <c r="A699" s="5" t="n"/>
      <c r="G699" s="6" t="n"/>
      <c r="H699" s="6" t="n"/>
      <c r="J699" s="6" t="n"/>
      <c r="K699" s="6" t="n"/>
      <c r="L699" s="7">
        <f>IF(OR(G699="",J699="",I699=""),"",ABS(G699-J699)*I699)</f>
        <v/>
      </c>
      <c r="M699" s="7">
        <f>IF(OR(G699="",H699="",I699="",F699=""),"",IF(F699="Long",(H699-G699)*I699,(G699-H699)*I699))</f>
        <v/>
      </c>
      <c r="N699" s="6">
        <f>IF(OR(M699="",L699="",L699=0),"",M699/L699)</f>
        <v/>
      </c>
      <c r="O699">
        <f>IF(M699="","",IF(M699&gt;0,"Win",IF(M699&lt;0,"Loss","Scratch")))</f>
        <v/>
      </c>
    </row>
    <row r="700">
      <c r="A700" s="5" t="n"/>
      <c r="G700" s="6" t="n"/>
      <c r="H700" s="6" t="n"/>
      <c r="J700" s="6" t="n"/>
      <c r="K700" s="6" t="n"/>
      <c r="L700" s="7">
        <f>IF(OR(G700="",J700="",I700=""),"",ABS(G700-J700)*I700)</f>
        <v/>
      </c>
      <c r="M700" s="7">
        <f>IF(OR(G700="",H700="",I700="",F700=""),"",IF(F700="Long",(H700-G700)*I700,(G700-H700)*I700))</f>
        <v/>
      </c>
      <c r="N700" s="6">
        <f>IF(OR(M700="",L700="",L700=0),"",M700/L700)</f>
        <v/>
      </c>
      <c r="O700">
        <f>IF(M700="","",IF(M700&gt;0,"Win",IF(M700&lt;0,"Loss","Scratch")))</f>
        <v/>
      </c>
    </row>
    <row r="701">
      <c r="A701" s="5" t="n"/>
      <c r="G701" s="6" t="n"/>
      <c r="H701" s="6" t="n"/>
      <c r="J701" s="6" t="n"/>
      <c r="K701" s="6" t="n"/>
      <c r="L701" s="7">
        <f>IF(OR(G701="",J701="",I701=""),"",ABS(G701-J701)*I701)</f>
        <v/>
      </c>
      <c r="M701" s="7">
        <f>IF(OR(G701="",H701="",I701="",F701=""),"",IF(F701="Long",(H701-G701)*I701,(G701-H701)*I701))</f>
        <v/>
      </c>
      <c r="N701" s="6">
        <f>IF(OR(M701="",L701="",L701=0),"",M701/L701)</f>
        <v/>
      </c>
      <c r="O701">
        <f>IF(M701="","",IF(M701&gt;0,"Win",IF(M701&lt;0,"Loss","Scratch")))</f>
        <v/>
      </c>
    </row>
    <row r="702">
      <c r="A702" s="5" t="n"/>
      <c r="G702" s="6" t="n"/>
      <c r="H702" s="6" t="n"/>
      <c r="J702" s="6" t="n"/>
      <c r="K702" s="6" t="n"/>
      <c r="L702" s="7">
        <f>IF(OR(G702="",J702="",I702=""),"",ABS(G702-J702)*I702)</f>
        <v/>
      </c>
      <c r="M702" s="7">
        <f>IF(OR(G702="",H702="",I702="",F702=""),"",IF(F702="Long",(H702-G702)*I702,(G702-H702)*I702))</f>
        <v/>
      </c>
      <c r="N702" s="6">
        <f>IF(OR(M702="",L702="",L702=0),"",M702/L702)</f>
        <v/>
      </c>
      <c r="O702">
        <f>IF(M702="","",IF(M702&gt;0,"Win",IF(M702&lt;0,"Loss","Scratch")))</f>
        <v/>
      </c>
    </row>
    <row r="703">
      <c r="A703" s="5" t="n"/>
      <c r="G703" s="6" t="n"/>
      <c r="H703" s="6" t="n"/>
      <c r="J703" s="6" t="n"/>
      <c r="K703" s="6" t="n"/>
      <c r="L703" s="7">
        <f>IF(OR(G703="",J703="",I703=""),"",ABS(G703-J703)*I703)</f>
        <v/>
      </c>
      <c r="M703" s="7">
        <f>IF(OR(G703="",H703="",I703="",F703=""),"",IF(F703="Long",(H703-G703)*I703,(G703-H703)*I703))</f>
        <v/>
      </c>
      <c r="N703" s="6">
        <f>IF(OR(M703="",L703="",L703=0),"",M703/L703)</f>
        <v/>
      </c>
      <c r="O703">
        <f>IF(M703="","",IF(M703&gt;0,"Win",IF(M703&lt;0,"Loss","Scratch")))</f>
        <v/>
      </c>
    </row>
    <row r="704">
      <c r="A704" s="5" t="n"/>
      <c r="G704" s="6" t="n"/>
      <c r="H704" s="6" t="n"/>
      <c r="J704" s="6" t="n"/>
      <c r="K704" s="6" t="n"/>
      <c r="L704" s="7">
        <f>IF(OR(G704="",J704="",I704=""),"",ABS(G704-J704)*I704)</f>
        <v/>
      </c>
      <c r="M704" s="7">
        <f>IF(OR(G704="",H704="",I704="",F704=""),"",IF(F704="Long",(H704-G704)*I704,(G704-H704)*I704))</f>
        <v/>
      </c>
      <c r="N704" s="6">
        <f>IF(OR(M704="",L704="",L704=0),"",M704/L704)</f>
        <v/>
      </c>
      <c r="O704">
        <f>IF(M704="","",IF(M704&gt;0,"Win",IF(M704&lt;0,"Loss","Scratch")))</f>
        <v/>
      </c>
    </row>
    <row r="705">
      <c r="A705" s="5" t="n"/>
      <c r="G705" s="6" t="n"/>
      <c r="H705" s="6" t="n"/>
      <c r="J705" s="6" t="n"/>
      <c r="K705" s="6" t="n"/>
      <c r="L705" s="7">
        <f>IF(OR(G705="",J705="",I705=""),"",ABS(G705-J705)*I705)</f>
        <v/>
      </c>
      <c r="M705" s="7">
        <f>IF(OR(G705="",H705="",I705="",F705=""),"",IF(F705="Long",(H705-G705)*I705,(G705-H705)*I705))</f>
        <v/>
      </c>
      <c r="N705" s="6">
        <f>IF(OR(M705="",L705="",L705=0),"",M705/L705)</f>
        <v/>
      </c>
      <c r="O705">
        <f>IF(M705="","",IF(M705&gt;0,"Win",IF(M705&lt;0,"Loss","Scratch")))</f>
        <v/>
      </c>
    </row>
    <row r="706">
      <c r="A706" s="5" t="n"/>
      <c r="G706" s="6" t="n"/>
      <c r="H706" s="6" t="n"/>
      <c r="J706" s="6" t="n"/>
      <c r="K706" s="6" t="n"/>
      <c r="L706" s="7">
        <f>IF(OR(G706="",J706="",I706=""),"",ABS(G706-J706)*I706)</f>
        <v/>
      </c>
      <c r="M706" s="7">
        <f>IF(OR(G706="",H706="",I706="",F706=""),"",IF(F706="Long",(H706-G706)*I706,(G706-H706)*I706))</f>
        <v/>
      </c>
      <c r="N706" s="6">
        <f>IF(OR(M706="",L706="",L706=0),"",M706/L706)</f>
        <v/>
      </c>
      <c r="O706">
        <f>IF(M706="","",IF(M706&gt;0,"Win",IF(M706&lt;0,"Loss","Scratch")))</f>
        <v/>
      </c>
    </row>
    <row r="707">
      <c r="A707" s="5" t="n"/>
      <c r="G707" s="6" t="n"/>
      <c r="H707" s="6" t="n"/>
      <c r="J707" s="6" t="n"/>
      <c r="K707" s="6" t="n"/>
      <c r="L707" s="7">
        <f>IF(OR(G707="",J707="",I707=""),"",ABS(G707-J707)*I707)</f>
        <v/>
      </c>
      <c r="M707" s="7">
        <f>IF(OR(G707="",H707="",I707="",F707=""),"",IF(F707="Long",(H707-G707)*I707,(G707-H707)*I707))</f>
        <v/>
      </c>
      <c r="N707" s="6">
        <f>IF(OR(M707="",L707="",L707=0),"",M707/L707)</f>
        <v/>
      </c>
      <c r="O707">
        <f>IF(M707="","",IF(M707&gt;0,"Win",IF(M707&lt;0,"Loss","Scratch")))</f>
        <v/>
      </c>
    </row>
    <row r="708">
      <c r="A708" s="5" t="n"/>
      <c r="G708" s="6" t="n"/>
      <c r="H708" s="6" t="n"/>
      <c r="J708" s="6" t="n"/>
      <c r="K708" s="6" t="n"/>
      <c r="L708" s="7">
        <f>IF(OR(G708="",J708="",I708=""),"",ABS(G708-J708)*I708)</f>
        <v/>
      </c>
      <c r="M708" s="7">
        <f>IF(OR(G708="",H708="",I708="",F708=""),"",IF(F708="Long",(H708-G708)*I708,(G708-H708)*I708))</f>
        <v/>
      </c>
      <c r="N708" s="6">
        <f>IF(OR(M708="",L708="",L708=0),"",M708/L708)</f>
        <v/>
      </c>
      <c r="O708">
        <f>IF(M708="","",IF(M708&gt;0,"Win",IF(M708&lt;0,"Loss","Scratch")))</f>
        <v/>
      </c>
    </row>
    <row r="709">
      <c r="A709" s="5" t="n"/>
      <c r="G709" s="6" t="n"/>
      <c r="H709" s="6" t="n"/>
      <c r="J709" s="6" t="n"/>
      <c r="K709" s="6" t="n"/>
      <c r="L709" s="7">
        <f>IF(OR(G709="",J709="",I709=""),"",ABS(G709-J709)*I709)</f>
        <v/>
      </c>
      <c r="M709" s="7">
        <f>IF(OR(G709="",H709="",I709="",F709=""),"",IF(F709="Long",(H709-G709)*I709,(G709-H709)*I709))</f>
        <v/>
      </c>
      <c r="N709" s="6">
        <f>IF(OR(M709="",L709="",L709=0),"",M709/L709)</f>
        <v/>
      </c>
      <c r="O709">
        <f>IF(M709="","",IF(M709&gt;0,"Win",IF(M709&lt;0,"Loss","Scratch")))</f>
        <v/>
      </c>
    </row>
    <row r="710">
      <c r="A710" s="5" t="n"/>
      <c r="G710" s="6" t="n"/>
      <c r="H710" s="6" t="n"/>
      <c r="J710" s="6" t="n"/>
      <c r="K710" s="6" t="n"/>
      <c r="L710" s="7">
        <f>IF(OR(G710="",J710="",I710=""),"",ABS(G710-J710)*I710)</f>
        <v/>
      </c>
      <c r="M710" s="7">
        <f>IF(OR(G710="",H710="",I710="",F710=""),"",IF(F710="Long",(H710-G710)*I710,(G710-H710)*I710))</f>
        <v/>
      </c>
      <c r="N710" s="6">
        <f>IF(OR(M710="",L710="",L710=0),"",M710/L710)</f>
        <v/>
      </c>
      <c r="O710">
        <f>IF(M710="","",IF(M710&gt;0,"Win",IF(M710&lt;0,"Loss","Scratch")))</f>
        <v/>
      </c>
    </row>
    <row r="711">
      <c r="A711" s="5" t="n"/>
      <c r="G711" s="6" t="n"/>
      <c r="H711" s="6" t="n"/>
      <c r="J711" s="6" t="n"/>
      <c r="K711" s="6" t="n"/>
      <c r="L711" s="7">
        <f>IF(OR(G711="",J711="",I711=""),"",ABS(G711-J711)*I711)</f>
        <v/>
      </c>
      <c r="M711" s="7">
        <f>IF(OR(G711="",H711="",I711="",F711=""),"",IF(F711="Long",(H711-G711)*I711,(G711-H711)*I711))</f>
        <v/>
      </c>
      <c r="N711" s="6">
        <f>IF(OR(M711="",L711="",L711=0),"",M711/L711)</f>
        <v/>
      </c>
      <c r="O711">
        <f>IF(M711="","",IF(M711&gt;0,"Win",IF(M711&lt;0,"Loss","Scratch")))</f>
        <v/>
      </c>
    </row>
    <row r="712">
      <c r="A712" s="5" t="n"/>
      <c r="G712" s="6" t="n"/>
      <c r="H712" s="6" t="n"/>
      <c r="J712" s="6" t="n"/>
      <c r="K712" s="6" t="n"/>
      <c r="L712" s="7">
        <f>IF(OR(G712="",J712="",I712=""),"",ABS(G712-J712)*I712)</f>
        <v/>
      </c>
      <c r="M712" s="7">
        <f>IF(OR(G712="",H712="",I712="",F712=""),"",IF(F712="Long",(H712-G712)*I712,(G712-H712)*I712))</f>
        <v/>
      </c>
      <c r="N712" s="6">
        <f>IF(OR(M712="",L712="",L712=0),"",M712/L712)</f>
        <v/>
      </c>
      <c r="O712">
        <f>IF(M712="","",IF(M712&gt;0,"Win",IF(M712&lt;0,"Loss","Scratch")))</f>
        <v/>
      </c>
    </row>
    <row r="713">
      <c r="A713" s="5" t="n"/>
      <c r="G713" s="6" t="n"/>
      <c r="H713" s="6" t="n"/>
      <c r="J713" s="6" t="n"/>
      <c r="K713" s="6" t="n"/>
      <c r="L713" s="7">
        <f>IF(OR(G713="",J713="",I713=""),"",ABS(G713-J713)*I713)</f>
        <v/>
      </c>
      <c r="M713" s="7">
        <f>IF(OR(G713="",H713="",I713="",F713=""),"",IF(F713="Long",(H713-G713)*I713,(G713-H713)*I713))</f>
        <v/>
      </c>
      <c r="N713" s="6">
        <f>IF(OR(M713="",L713="",L713=0),"",M713/L713)</f>
        <v/>
      </c>
      <c r="O713">
        <f>IF(M713="","",IF(M713&gt;0,"Win",IF(M713&lt;0,"Loss","Scratch")))</f>
        <v/>
      </c>
    </row>
    <row r="714">
      <c r="A714" s="5" t="n"/>
      <c r="G714" s="6" t="n"/>
      <c r="H714" s="6" t="n"/>
      <c r="J714" s="6" t="n"/>
      <c r="K714" s="6" t="n"/>
      <c r="L714" s="7">
        <f>IF(OR(G714="",J714="",I714=""),"",ABS(G714-J714)*I714)</f>
        <v/>
      </c>
      <c r="M714" s="7">
        <f>IF(OR(G714="",H714="",I714="",F714=""),"",IF(F714="Long",(H714-G714)*I714,(G714-H714)*I714))</f>
        <v/>
      </c>
      <c r="N714" s="6">
        <f>IF(OR(M714="",L714="",L714=0),"",M714/L714)</f>
        <v/>
      </c>
      <c r="O714">
        <f>IF(M714="","",IF(M714&gt;0,"Win",IF(M714&lt;0,"Loss","Scratch")))</f>
        <v/>
      </c>
    </row>
    <row r="715">
      <c r="A715" s="5" t="n"/>
      <c r="G715" s="6" t="n"/>
      <c r="H715" s="6" t="n"/>
      <c r="J715" s="6" t="n"/>
      <c r="K715" s="6" t="n"/>
      <c r="L715" s="7">
        <f>IF(OR(G715="",J715="",I715=""),"",ABS(G715-J715)*I715)</f>
        <v/>
      </c>
      <c r="M715" s="7">
        <f>IF(OR(G715="",H715="",I715="",F715=""),"",IF(F715="Long",(H715-G715)*I715,(G715-H715)*I715))</f>
        <v/>
      </c>
      <c r="N715" s="6">
        <f>IF(OR(M715="",L715="",L715=0),"",M715/L715)</f>
        <v/>
      </c>
      <c r="O715">
        <f>IF(M715="","",IF(M715&gt;0,"Win",IF(M715&lt;0,"Loss","Scratch")))</f>
        <v/>
      </c>
    </row>
    <row r="716">
      <c r="A716" s="5" t="n"/>
      <c r="G716" s="6" t="n"/>
      <c r="H716" s="6" t="n"/>
      <c r="J716" s="6" t="n"/>
      <c r="K716" s="6" t="n"/>
      <c r="L716" s="7">
        <f>IF(OR(G716="",J716="",I716=""),"",ABS(G716-J716)*I716)</f>
        <v/>
      </c>
      <c r="M716" s="7">
        <f>IF(OR(G716="",H716="",I716="",F716=""),"",IF(F716="Long",(H716-G716)*I716,(G716-H716)*I716))</f>
        <v/>
      </c>
      <c r="N716" s="6">
        <f>IF(OR(M716="",L716="",L716=0),"",M716/L716)</f>
        <v/>
      </c>
      <c r="O716">
        <f>IF(M716="","",IF(M716&gt;0,"Win",IF(M716&lt;0,"Loss","Scratch")))</f>
        <v/>
      </c>
    </row>
    <row r="717">
      <c r="A717" s="5" t="n"/>
      <c r="G717" s="6" t="n"/>
      <c r="H717" s="6" t="n"/>
      <c r="J717" s="6" t="n"/>
      <c r="K717" s="6" t="n"/>
      <c r="L717" s="7">
        <f>IF(OR(G717="",J717="",I717=""),"",ABS(G717-J717)*I717)</f>
        <v/>
      </c>
      <c r="M717" s="7">
        <f>IF(OR(G717="",H717="",I717="",F717=""),"",IF(F717="Long",(H717-G717)*I717,(G717-H717)*I717))</f>
        <v/>
      </c>
      <c r="N717" s="6">
        <f>IF(OR(M717="",L717="",L717=0),"",M717/L717)</f>
        <v/>
      </c>
      <c r="O717">
        <f>IF(M717="","",IF(M717&gt;0,"Win",IF(M717&lt;0,"Loss","Scratch")))</f>
        <v/>
      </c>
    </row>
    <row r="718">
      <c r="A718" s="5" t="n"/>
      <c r="G718" s="6" t="n"/>
      <c r="H718" s="6" t="n"/>
      <c r="J718" s="6" t="n"/>
      <c r="K718" s="6" t="n"/>
      <c r="L718" s="7">
        <f>IF(OR(G718="",J718="",I718=""),"",ABS(G718-J718)*I718)</f>
        <v/>
      </c>
      <c r="M718" s="7">
        <f>IF(OR(G718="",H718="",I718="",F718=""),"",IF(F718="Long",(H718-G718)*I718,(G718-H718)*I718))</f>
        <v/>
      </c>
      <c r="N718" s="6">
        <f>IF(OR(M718="",L718="",L718=0),"",M718/L718)</f>
        <v/>
      </c>
      <c r="O718">
        <f>IF(M718="","",IF(M718&gt;0,"Win",IF(M718&lt;0,"Loss","Scratch")))</f>
        <v/>
      </c>
    </row>
    <row r="719">
      <c r="A719" s="5" t="n"/>
      <c r="G719" s="6" t="n"/>
      <c r="H719" s="6" t="n"/>
      <c r="J719" s="6" t="n"/>
      <c r="K719" s="6" t="n"/>
      <c r="L719" s="7">
        <f>IF(OR(G719="",J719="",I719=""),"",ABS(G719-J719)*I719)</f>
        <v/>
      </c>
      <c r="M719" s="7">
        <f>IF(OR(G719="",H719="",I719="",F719=""),"",IF(F719="Long",(H719-G719)*I719,(G719-H719)*I719))</f>
        <v/>
      </c>
      <c r="N719" s="6">
        <f>IF(OR(M719="",L719="",L719=0),"",M719/L719)</f>
        <v/>
      </c>
      <c r="O719">
        <f>IF(M719="","",IF(M719&gt;0,"Win",IF(M719&lt;0,"Loss","Scratch")))</f>
        <v/>
      </c>
    </row>
    <row r="720">
      <c r="A720" s="5" t="n"/>
      <c r="G720" s="6" t="n"/>
      <c r="H720" s="6" t="n"/>
      <c r="J720" s="6" t="n"/>
      <c r="K720" s="6" t="n"/>
      <c r="L720" s="7">
        <f>IF(OR(G720="",J720="",I720=""),"",ABS(G720-J720)*I720)</f>
        <v/>
      </c>
      <c r="M720" s="7">
        <f>IF(OR(G720="",H720="",I720="",F720=""),"",IF(F720="Long",(H720-G720)*I720,(G720-H720)*I720))</f>
        <v/>
      </c>
      <c r="N720" s="6">
        <f>IF(OR(M720="",L720="",L720=0),"",M720/L720)</f>
        <v/>
      </c>
      <c r="O720">
        <f>IF(M720="","",IF(M720&gt;0,"Win",IF(M720&lt;0,"Loss","Scratch")))</f>
        <v/>
      </c>
    </row>
    <row r="721">
      <c r="A721" s="5" t="n"/>
      <c r="G721" s="6" t="n"/>
      <c r="H721" s="6" t="n"/>
      <c r="J721" s="6" t="n"/>
      <c r="K721" s="6" t="n"/>
      <c r="L721" s="7">
        <f>IF(OR(G721="",J721="",I721=""),"",ABS(G721-J721)*I721)</f>
        <v/>
      </c>
      <c r="M721" s="7">
        <f>IF(OR(G721="",H721="",I721="",F721=""),"",IF(F721="Long",(H721-G721)*I721,(G721-H721)*I721))</f>
        <v/>
      </c>
      <c r="N721" s="6">
        <f>IF(OR(M721="",L721="",L721=0),"",M721/L721)</f>
        <v/>
      </c>
      <c r="O721">
        <f>IF(M721="","",IF(M721&gt;0,"Win",IF(M721&lt;0,"Loss","Scratch")))</f>
        <v/>
      </c>
    </row>
    <row r="722">
      <c r="A722" s="5" t="n"/>
      <c r="G722" s="6" t="n"/>
      <c r="H722" s="6" t="n"/>
      <c r="J722" s="6" t="n"/>
      <c r="K722" s="6" t="n"/>
      <c r="L722" s="7">
        <f>IF(OR(G722="",J722="",I722=""),"",ABS(G722-J722)*I722)</f>
        <v/>
      </c>
      <c r="M722" s="7">
        <f>IF(OR(G722="",H722="",I722="",F722=""),"",IF(F722="Long",(H722-G722)*I722,(G722-H722)*I722))</f>
        <v/>
      </c>
      <c r="N722" s="6">
        <f>IF(OR(M722="",L722="",L722=0),"",M722/L722)</f>
        <v/>
      </c>
      <c r="O722">
        <f>IF(M722="","",IF(M722&gt;0,"Win",IF(M722&lt;0,"Loss","Scratch")))</f>
        <v/>
      </c>
    </row>
    <row r="723">
      <c r="A723" s="5" t="n"/>
      <c r="G723" s="6" t="n"/>
      <c r="H723" s="6" t="n"/>
      <c r="J723" s="6" t="n"/>
      <c r="K723" s="6" t="n"/>
      <c r="L723" s="7">
        <f>IF(OR(G723="",J723="",I723=""),"",ABS(G723-J723)*I723)</f>
        <v/>
      </c>
      <c r="M723" s="7">
        <f>IF(OR(G723="",H723="",I723="",F723=""),"",IF(F723="Long",(H723-G723)*I723,(G723-H723)*I723))</f>
        <v/>
      </c>
      <c r="N723" s="6">
        <f>IF(OR(M723="",L723="",L723=0),"",M723/L723)</f>
        <v/>
      </c>
      <c r="O723">
        <f>IF(M723="","",IF(M723&gt;0,"Win",IF(M723&lt;0,"Loss","Scratch")))</f>
        <v/>
      </c>
    </row>
    <row r="724">
      <c r="A724" s="5" t="n"/>
      <c r="G724" s="6" t="n"/>
      <c r="H724" s="6" t="n"/>
      <c r="J724" s="6" t="n"/>
      <c r="K724" s="6" t="n"/>
      <c r="L724" s="7">
        <f>IF(OR(G724="",J724="",I724=""),"",ABS(G724-J724)*I724)</f>
        <v/>
      </c>
      <c r="M724" s="7">
        <f>IF(OR(G724="",H724="",I724="",F724=""),"",IF(F724="Long",(H724-G724)*I724,(G724-H724)*I724))</f>
        <v/>
      </c>
      <c r="N724" s="6">
        <f>IF(OR(M724="",L724="",L724=0),"",M724/L724)</f>
        <v/>
      </c>
      <c r="O724">
        <f>IF(M724="","",IF(M724&gt;0,"Win",IF(M724&lt;0,"Loss","Scratch")))</f>
        <v/>
      </c>
    </row>
    <row r="725">
      <c r="A725" s="5" t="n"/>
      <c r="G725" s="6" t="n"/>
      <c r="H725" s="6" t="n"/>
      <c r="J725" s="6" t="n"/>
      <c r="K725" s="6" t="n"/>
      <c r="L725" s="7">
        <f>IF(OR(G725="",J725="",I725=""),"",ABS(G725-J725)*I725)</f>
        <v/>
      </c>
      <c r="M725" s="7">
        <f>IF(OR(G725="",H725="",I725="",F725=""),"",IF(F725="Long",(H725-G725)*I725,(G725-H725)*I725))</f>
        <v/>
      </c>
      <c r="N725" s="6">
        <f>IF(OR(M725="",L725="",L725=0),"",M725/L725)</f>
        <v/>
      </c>
      <c r="O725">
        <f>IF(M725="","",IF(M725&gt;0,"Win",IF(M725&lt;0,"Loss","Scratch")))</f>
        <v/>
      </c>
    </row>
    <row r="726">
      <c r="A726" s="5" t="n"/>
      <c r="G726" s="6" t="n"/>
      <c r="H726" s="6" t="n"/>
      <c r="J726" s="6" t="n"/>
      <c r="K726" s="6" t="n"/>
      <c r="L726" s="7">
        <f>IF(OR(G726="",J726="",I726=""),"",ABS(G726-J726)*I726)</f>
        <v/>
      </c>
      <c r="M726" s="7">
        <f>IF(OR(G726="",H726="",I726="",F726=""),"",IF(F726="Long",(H726-G726)*I726,(G726-H726)*I726))</f>
        <v/>
      </c>
      <c r="N726" s="6">
        <f>IF(OR(M726="",L726="",L726=0),"",M726/L726)</f>
        <v/>
      </c>
      <c r="O726">
        <f>IF(M726="","",IF(M726&gt;0,"Win",IF(M726&lt;0,"Loss","Scratch")))</f>
        <v/>
      </c>
    </row>
    <row r="727">
      <c r="A727" s="5" t="n"/>
      <c r="G727" s="6" t="n"/>
      <c r="H727" s="6" t="n"/>
      <c r="J727" s="6" t="n"/>
      <c r="K727" s="6" t="n"/>
      <c r="L727" s="7">
        <f>IF(OR(G727="",J727="",I727=""),"",ABS(G727-J727)*I727)</f>
        <v/>
      </c>
      <c r="M727" s="7">
        <f>IF(OR(G727="",H727="",I727="",F727=""),"",IF(F727="Long",(H727-G727)*I727,(G727-H727)*I727))</f>
        <v/>
      </c>
      <c r="N727" s="6">
        <f>IF(OR(M727="",L727="",L727=0),"",M727/L727)</f>
        <v/>
      </c>
      <c r="O727">
        <f>IF(M727="","",IF(M727&gt;0,"Win",IF(M727&lt;0,"Loss","Scratch")))</f>
        <v/>
      </c>
    </row>
    <row r="728">
      <c r="A728" s="5" t="n"/>
      <c r="G728" s="6" t="n"/>
      <c r="H728" s="6" t="n"/>
      <c r="J728" s="6" t="n"/>
      <c r="K728" s="6" t="n"/>
      <c r="L728" s="7">
        <f>IF(OR(G728="",J728="",I728=""),"",ABS(G728-J728)*I728)</f>
        <v/>
      </c>
      <c r="M728" s="7">
        <f>IF(OR(G728="",H728="",I728="",F728=""),"",IF(F728="Long",(H728-G728)*I728,(G728-H728)*I728))</f>
        <v/>
      </c>
      <c r="N728" s="6">
        <f>IF(OR(M728="",L728="",L728=0),"",M728/L728)</f>
        <v/>
      </c>
      <c r="O728">
        <f>IF(M728="","",IF(M728&gt;0,"Win",IF(M728&lt;0,"Loss","Scratch")))</f>
        <v/>
      </c>
    </row>
    <row r="729">
      <c r="A729" s="5" t="n"/>
      <c r="G729" s="6" t="n"/>
      <c r="H729" s="6" t="n"/>
      <c r="J729" s="6" t="n"/>
      <c r="K729" s="6" t="n"/>
      <c r="L729" s="7">
        <f>IF(OR(G729="",J729="",I729=""),"",ABS(G729-J729)*I729)</f>
        <v/>
      </c>
      <c r="M729" s="7">
        <f>IF(OR(G729="",H729="",I729="",F729=""),"",IF(F729="Long",(H729-G729)*I729,(G729-H729)*I729))</f>
        <v/>
      </c>
      <c r="N729" s="6">
        <f>IF(OR(M729="",L729="",L729=0),"",M729/L729)</f>
        <v/>
      </c>
      <c r="O729">
        <f>IF(M729="","",IF(M729&gt;0,"Win",IF(M729&lt;0,"Loss","Scratch")))</f>
        <v/>
      </c>
    </row>
    <row r="730">
      <c r="A730" s="5" t="n"/>
      <c r="G730" s="6" t="n"/>
      <c r="H730" s="6" t="n"/>
      <c r="J730" s="6" t="n"/>
      <c r="K730" s="6" t="n"/>
      <c r="L730" s="7">
        <f>IF(OR(G730="",J730="",I730=""),"",ABS(G730-J730)*I730)</f>
        <v/>
      </c>
      <c r="M730" s="7">
        <f>IF(OR(G730="",H730="",I730="",F730=""),"",IF(F730="Long",(H730-G730)*I730,(G730-H730)*I730))</f>
        <v/>
      </c>
      <c r="N730" s="6">
        <f>IF(OR(M730="",L730="",L730=0),"",M730/L730)</f>
        <v/>
      </c>
      <c r="O730">
        <f>IF(M730="","",IF(M730&gt;0,"Win",IF(M730&lt;0,"Loss","Scratch")))</f>
        <v/>
      </c>
    </row>
    <row r="731">
      <c r="A731" s="5" t="n"/>
      <c r="G731" s="6" t="n"/>
      <c r="H731" s="6" t="n"/>
      <c r="J731" s="6" t="n"/>
      <c r="K731" s="6" t="n"/>
      <c r="L731" s="7">
        <f>IF(OR(G731="",J731="",I731=""),"",ABS(G731-J731)*I731)</f>
        <v/>
      </c>
      <c r="M731" s="7">
        <f>IF(OR(G731="",H731="",I731="",F731=""),"",IF(F731="Long",(H731-G731)*I731,(G731-H731)*I731))</f>
        <v/>
      </c>
      <c r="N731" s="6">
        <f>IF(OR(M731="",L731="",L731=0),"",M731/L731)</f>
        <v/>
      </c>
      <c r="O731">
        <f>IF(M731="","",IF(M731&gt;0,"Win",IF(M731&lt;0,"Loss","Scratch")))</f>
        <v/>
      </c>
    </row>
    <row r="732">
      <c r="A732" s="5" t="n"/>
      <c r="G732" s="6" t="n"/>
      <c r="H732" s="6" t="n"/>
      <c r="J732" s="6" t="n"/>
      <c r="K732" s="6" t="n"/>
      <c r="L732" s="7">
        <f>IF(OR(G732="",J732="",I732=""),"",ABS(G732-J732)*I732)</f>
        <v/>
      </c>
      <c r="M732" s="7">
        <f>IF(OR(G732="",H732="",I732="",F732=""),"",IF(F732="Long",(H732-G732)*I732,(G732-H732)*I732))</f>
        <v/>
      </c>
      <c r="N732" s="6">
        <f>IF(OR(M732="",L732="",L732=0),"",M732/L732)</f>
        <v/>
      </c>
      <c r="O732">
        <f>IF(M732="","",IF(M732&gt;0,"Win",IF(M732&lt;0,"Loss","Scratch")))</f>
        <v/>
      </c>
    </row>
    <row r="733">
      <c r="A733" s="5" t="n"/>
      <c r="G733" s="6" t="n"/>
      <c r="H733" s="6" t="n"/>
      <c r="J733" s="6" t="n"/>
      <c r="K733" s="6" t="n"/>
      <c r="L733" s="7">
        <f>IF(OR(G733="",J733="",I733=""),"",ABS(G733-J733)*I733)</f>
        <v/>
      </c>
      <c r="M733" s="7">
        <f>IF(OR(G733="",H733="",I733="",F733=""),"",IF(F733="Long",(H733-G733)*I733,(G733-H733)*I733))</f>
        <v/>
      </c>
      <c r="N733" s="6">
        <f>IF(OR(M733="",L733="",L733=0),"",M733/L733)</f>
        <v/>
      </c>
      <c r="O733">
        <f>IF(M733="","",IF(M733&gt;0,"Win",IF(M733&lt;0,"Loss","Scratch")))</f>
        <v/>
      </c>
    </row>
    <row r="734">
      <c r="A734" s="5" t="n"/>
      <c r="G734" s="6" t="n"/>
      <c r="H734" s="6" t="n"/>
      <c r="J734" s="6" t="n"/>
      <c r="K734" s="6" t="n"/>
      <c r="L734" s="7">
        <f>IF(OR(G734="",J734="",I734=""),"",ABS(G734-J734)*I734)</f>
        <v/>
      </c>
      <c r="M734" s="7">
        <f>IF(OR(G734="",H734="",I734="",F734=""),"",IF(F734="Long",(H734-G734)*I734,(G734-H734)*I734))</f>
        <v/>
      </c>
      <c r="N734" s="6">
        <f>IF(OR(M734="",L734="",L734=0),"",M734/L734)</f>
        <v/>
      </c>
      <c r="O734">
        <f>IF(M734="","",IF(M734&gt;0,"Win",IF(M734&lt;0,"Loss","Scratch")))</f>
        <v/>
      </c>
    </row>
    <row r="735">
      <c r="A735" s="5" t="n"/>
      <c r="G735" s="6" t="n"/>
      <c r="H735" s="6" t="n"/>
      <c r="J735" s="6" t="n"/>
      <c r="K735" s="6" t="n"/>
      <c r="L735" s="7">
        <f>IF(OR(G735="",J735="",I735=""),"",ABS(G735-J735)*I735)</f>
        <v/>
      </c>
      <c r="M735" s="7">
        <f>IF(OR(G735="",H735="",I735="",F735=""),"",IF(F735="Long",(H735-G735)*I735,(G735-H735)*I735))</f>
        <v/>
      </c>
      <c r="N735" s="6">
        <f>IF(OR(M735="",L735="",L735=0),"",M735/L735)</f>
        <v/>
      </c>
      <c r="O735">
        <f>IF(M735="","",IF(M735&gt;0,"Win",IF(M735&lt;0,"Loss","Scratch")))</f>
        <v/>
      </c>
    </row>
    <row r="736">
      <c r="A736" s="5" t="n"/>
      <c r="G736" s="6" t="n"/>
      <c r="H736" s="6" t="n"/>
      <c r="J736" s="6" t="n"/>
      <c r="K736" s="6" t="n"/>
      <c r="L736" s="7">
        <f>IF(OR(G736="",J736="",I736=""),"",ABS(G736-J736)*I736)</f>
        <v/>
      </c>
      <c r="M736" s="7">
        <f>IF(OR(G736="",H736="",I736="",F736=""),"",IF(F736="Long",(H736-G736)*I736,(G736-H736)*I736))</f>
        <v/>
      </c>
      <c r="N736" s="6">
        <f>IF(OR(M736="",L736="",L736=0),"",M736/L736)</f>
        <v/>
      </c>
      <c r="O736">
        <f>IF(M736="","",IF(M736&gt;0,"Win",IF(M736&lt;0,"Loss","Scratch")))</f>
        <v/>
      </c>
    </row>
    <row r="737">
      <c r="A737" s="5" t="n"/>
      <c r="G737" s="6" t="n"/>
      <c r="H737" s="6" t="n"/>
      <c r="J737" s="6" t="n"/>
      <c r="K737" s="6" t="n"/>
      <c r="L737" s="7">
        <f>IF(OR(G737="",J737="",I737=""),"",ABS(G737-J737)*I737)</f>
        <v/>
      </c>
      <c r="M737" s="7">
        <f>IF(OR(G737="",H737="",I737="",F737=""),"",IF(F737="Long",(H737-G737)*I737,(G737-H737)*I737))</f>
        <v/>
      </c>
      <c r="N737" s="6">
        <f>IF(OR(M737="",L737="",L737=0),"",M737/L737)</f>
        <v/>
      </c>
      <c r="O737">
        <f>IF(M737="","",IF(M737&gt;0,"Win",IF(M737&lt;0,"Loss","Scratch")))</f>
        <v/>
      </c>
    </row>
    <row r="738">
      <c r="A738" s="5" t="n"/>
      <c r="G738" s="6" t="n"/>
      <c r="H738" s="6" t="n"/>
      <c r="J738" s="6" t="n"/>
      <c r="K738" s="6" t="n"/>
      <c r="L738" s="7">
        <f>IF(OR(G738="",J738="",I738=""),"",ABS(G738-J738)*I738)</f>
        <v/>
      </c>
      <c r="M738" s="7">
        <f>IF(OR(G738="",H738="",I738="",F738=""),"",IF(F738="Long",(H738-G738)*I738,(G738-H738)*I738))</f>
        <v/>
      </c>
      <c r="N738" s="6">
        <f>IF(OR(M738="",L738="",L738=0),"",M738/L738)</f>
        <v/>
      </c>
      <c r="O738">
        <f>IF(M738="","",IF(M738&gt;0,"Win",IF(M738&lt;0,"Loss","Scratch")))</f>
        <v/>
      </c>
    </row>
    <row r="739">
      <c r="A739" s="5" t="n"/>
      <c r="G739" s="6" t="n"/>
      <c r="H739" s="6" t="n"/>
      <c r="J739" s="6" t="n"/>
      <c r="K739" s="6" t="n"/>
      <c r="L739" s="7">
        <f>IF(OR(G739="",J739="",I739=""),"",ABS(G739-J739)*I739)</f>
        <v/>
      </c>
      <c r="M739" s="7">
        <f>IF(OR(G739="",H739="",I739="",F739=""),"",IF(F739="Long",(H739-G739)*I739,(G739-H739)*I739))</f>
        <v/>
      </c>
      <c r="N739" s="6">
        <f>IF(OR(M739="",L739="",L739=0),"",M739/L739)</f>
        <v/>
      </c>
      <c r="O739">
        <f>IF(M739="","",IF(M739&gt;0,"Win",IF(M739&lt;0,"Loss","Scratch")))</f>
        <v/>
      </c>
    </row>
    <row r="740">
      <c r="A740" s="5" t="n"/>
      <c r="G740" s="6" t="n"/>
      <c r="H740" s="6" t="n"/>
      <c r="J740" s="6" t="n"/>
      <c r="K740" s="6" t="n"/>
      <c r="L740" s="7">
        <f>IF(OR(G740="",J740="",I740=""),"",ABS(G740-J740)*I740)</f>
        <v/>
      </c>
      <c r="M740" s="7">
        <f>IF(OR(G740="",H740="",I740="",F740=""),"",IF(F740="Long",(H740-G740)*I740,(G740-H740)*I740))</f>
        <v/>
      </c>
      <c r="N740" s="6">
        <f>IF(OR(M740="",L740="",L740=0),"",M740/L740)</f>
        <v/>
      </c>
      <c r="O740">
        <f>IF(M740="","",IF(M740&gt;0,"Win",IF(M740&lt;0,"Loss","Scratch")))</f>
        <v/>
      </c>
    </row>
    <row r="741">
      <c r="A741" s="5" t="n"/>
      <c r="G741" s="6" t="n"/>
      <c r="H741" s="6" t="n"/>
      <c r="J741" s="6" t="n"/>
      <c r="K741" s="6" t="n"/>
      <c r="L741" s="7">
        <f>IF(OR(G741="",J741="",I741=""),"",ABS(G741-J741)*I741)</f>
        <v/>
      </c>
      <c r="M741" s="7">
        <f>IF(OR(G741="",H741="",I741="",F741=""),"",IF(F741="Long",(H741-G741)*I741,(G741-H741)*I741))</f>
        <v/>
      </c>
      <c r="N741" s="6">
        <f>IF(OR(M741="",L741="",L741=0),"",M741/L741)</f>
        <v/>
      </c>
      <c r="O741">
        <f>IF(M741="","",IF(M741&gt;0,"Win",IF(M741&lt;0,"Loss","Scratch")))</f>
        <v/>
      </c>
    </row>
    <row r="742">
      <c r="A742" s="5" t="n"/>
      <c r="G742" s="6" t="n"/>
      <c r="H742" s="6" t="n"/>
      <c r="J742" s="6" t="n"/>
      <c r="K742" s="6" t="n"/>
      <c r="L742" s="7">
        <f>IF(OR(G742="",J742="",I742=""),"",ABS(G742-J742)*I742)</f>
        <v/>
      </c>
      <c r="M742" s="7">
        <f>IF(OR(G742="",H742="",I742="",F742=""),"",IF(F742="Long",(H742-G742)*I742,(G742-H742)*I742))</f>
        <v/>
      </c>
      <c r="N742" s="6">
        <f>IF(OR(M742="",L742="",L742=0),"",M742/L742)</f>
        <v/>
      </c>
      <c r="O742">
        <f>IF(M742="","",IF(M742&gt;0,"Win",IF(M742&lt;0,"Loss","Scratch")))</f>
        <v/>
      </c>
    </row>
    <row r="743">
      <c r="A743" s="5" t="n"/>
      <c r="G743" s="6" t="n"/>
      <c r="H743" s="6" t="n"/>
      <c r="J743" s="6" t="n"/>
      <c r="K743" s="6" t="n"/>
      <c r="L743" s="7">
        <f>IF(OR(G743="",J743="",I743=""),"",ABS(G743-J743)*I743)</f>
        <v/>
      </c>
      <c r="M743" s="7">
        <f>IF(OR(G743="",H743="",I743="",F743=""),"",IF(F743="Long",(H743-G743)*I743,(G743-H743)*I743))</f>
        <v/>
      </c>
      <c r="N743" s="6">
        <f>IF(OR(M743="",L743="",L743=0),"",M743/L743)</f>
        <v/>
      </c>
      <c r="O743">
        <f>IF(M743="","",IF(M743&gt;0,"Win",IF(M743&lt;0,"Loss","Scratch")))</f>
        <v/>
      </c>
    </row>
    <row r="744">
      <c r="A744" s="5" t="n"/>
      <c r="G744" s="6" t="n"/>
      <c r="H744" s="6" t="n"/>
      <c r="J744" s="6" t="n"/>
      <c r="K744" s="6" t="n"/>
      <c r="L744" s="7">
        <f>IF(OR(G744="",J744="",I744=""),"",ABS(G744-J744)*I744)</f>
        <v/>
      </c>
      <c r="M744" s="7">
        <f>IF(OR(G744="",H744="",I744="",F744=""),"",IF(F744="Long",(H744-G744)*I744,(G744-H744)*I744))</f>
        <v/>
      </c>
      <c r="N744" s="6">
        <f>IF(OR(M744="",L744="",L744=0),"",M744/L744)</f>
        <v/>
      </c>
      <c r="O744">
        <f>IF(M744="","",IF(M744&gt;0,"Win",IF(M744&lt;0,"Loss","Scratch")))</f>
        <v/>
      </c>
    </row>
    <row r="745">
      <c r="A745" s="5" t="n"/>
      <c r="G745" s="6" t="n"/>
      <c r="H745" s="6" t="n"/>
      <c r="J745" s="6" t="n"/>
      <c r="K745" s="6" t="n"/>
      <c r="L745" s="7">
        <f>IF(OR(G745="",J745="",I745=""),"",ABS(G745-J745)*I745)</f>
        <v/>
      </c>
      <c r="M745" s="7">
        <f>IF(OR(G745="",H745="",I745="",F745=""),"",IF(F745="Long",(H745-G745)*I745,(G745-H745)*I745))</f>
        <v/>
      </c>
      <c r="N745" s="6">
        <f>IF(OR(M745="",L745="",L745=0),"",M745/L745)</f>
        <v/>
      </c>
      <c r="O745">
        <f>IF(M745="","",IF(M745&gt;0,"Win",IF(M745&lt;0,"Loss","Scratch")))</f>
        <v/>
      </c>
    </row>
    <row r="746">
      <c r="A746" s="5" t="n"/>
      <c r="G746" s="6" t="n"/>
      <c r="H746" s="6" t="n"/>
      <c r="J746" s="6" t="n"/>
      <c r="K746" s="6" t="n"/>
      <c r="L746" s="7">
        <f>IF(OR(G746="",J746="",I746=""),"",ABS(G746-J746)*I746)</f>
        <v/>
      </c>
      <c r="M746" s="7">
        <f>IF(OR(G746="",H746="",I746="",F746=""),"",IF(F746="Long",(H746-G746)*I746,(G746-H746)*I746))</f>
        <v/>
      </c>
      <c r="N746" s="6">
        <f>IF(OR(M746="",L746="",L746=0),"",M746/L746)</f>
        <v/>
      </c>
      <c r="O746">
        <f>IF(M746="","",IF(M746&gt;0,"Win",IF(M746&lt;0,"Loss","Scratch")))</f>
        <v/>
      </c>
    </row>
    <row r="747">
      <c r="A747" s="5" t="n"/>
      <c r="G747" s="6" t="n"/>
      <c r="H747" s="6" t="n"/>
      <c r="J747" s="6" t="n"/>
      <c r="K747" s="6" t="n"/>
      <c r="L747" s="7">
        <f>IF(OR(G747="",J747="",I747=""),"",ABS(G747-J747)*I747)</f>
        <v/>
      </c>
      <c r="M747" s="7">
        <f>IF(OR(G747="",H747="",I747="",F747=""),"",IF(F747="Long",(H747-G747)*I747,(G747-H747)*I747))</f>
        <v/>
      </c>
      <c r="N747" s="6">
        <f>IF(OR(M747="",L747="",L747=0),"",M747/L747)</f>
        <v/>
      </c>
      <c r="O747">
        <f>IF(M747="","",IF(M747&gt;0,"Win",IF(M747&lt;0,"Loss","Scratch")))</f>
        <v/>
      </c>
    </row>
    <row r="748">
      <c r="A748" s="5" t="n"/>
      <c r="G748" s="6" t="n"/>
      <c r="H748" s="6" t="n"/>
      <c r="J748" s="6" t="n"/>
      <c r="K748" s="6" t="n"/>
      <c r="L748" s="7">
        <f>IF(OR(G748="",J748="",I748=""),"",ABS(G748-J748)*I748)</f>
        <v/>
      </c>
      <c r="M748" s="7">
        <f>IF(OR(G748="",H748="",I748="",F748=""),"",IF(F748="Long",(H748-G748)*I748,(G748-H748)*I748))</f>
        <v/>
      </c>
      <c r="N748" s="6">
        <f>IF(OR(M748="",L748="",L748=0),"",M748/L748)</f>
        <v/>
      </c>
      <c r="O748">
        <f>IF(M748="","",IF(M748&gt;0,"Win",IF(M748&lt;0,"Loss","Scratch")))</f>
        <v/>
      </c>
    </row>
    <row r="749">
      <c r="A749" s="5" t="n"/>
      <c r="G749" s="6" t="n"/>
      <c r="H749" s="6" t="n"/>
      <c r="J749" s="6" t="n"/>
      <c r="K749" s="6" t="n"/>
      <c r="L749" s="7">
        <f>IF(OR(G749="",J749="",I749=""),"",ABS(G749-J749)*I749)</f>
        <v/>
      </c>
      <c r="M749" s="7">
        <f>IF(OR(G749="",H749="",I749="",F749=""),"",IF(F749="Long",(H749-G749)*I749,(G749-H749)*I749))</f>
        <v/>
      </c>
      <c r="N749" s="6">
        <f>IF(OR(M749="",L749="",L749=0),"",M749/L749)</f>
        <v/>
      </c>
      <c r="O749">
        <f>IF(M749="","",IF(M749&gt;0,"Win",IF(M749&lt;0,"Loss","Scratch")))</f>
        <v/>
      </c>
    </row>
    <row r="750">
      <c r="A750" s="5" t="n"/>
      <c r="G750" s="6" t="n"/>
      <c r="H750" s="6" t="n"/>
      <c r="J750" s="6" t="n"/>
      <c r="K750" s="6" t="n"/>
      <c r="L750" s="7">
        <f>IF(OR(G750="",J750="",I750=""),"",ABS(G750-J750)*I750)</f>
        <v/>
      </c>
      <c r="M750" s="7">
        <f>IF(OR(G750="",H750="",I750="",F750=""),"",IF(F750="Long",(H750-G750)*I750,(G750-H750)*I750))</f>
        <v/>
      </c>
      <c r="N750" s="6">
        <f>IF(OR(M750="",L750="",L750=0),"",M750/L750)</f>
        <v/>
      </c>
      <c r="O750">
        <f>IF(M750="","",IF(M750&gt;0,"Win",IF(M750&lt;0,"Loss","Scratch")))</f>
        <v/>
      </c>
    </row>
    <row r="751">
      <c r="A751" s="5" t="n"/>
      <c r="G751" s="6" t="n"/>
      <c r="H751" s="6" t="n"/>
      <c r="J751" s="6" t="n"/>
      <c r="K751" s="6" t="n"/>
      <c r="L751" s="7">
        <f>IF(OR(G751="",J751="",I751=""),"",ABS(G751-J751)*I751)</f>
        <v/>
      </c>
      <c r="M751" s="7">
        <f>IF(OR(G751="",H751="",I751="",F751=""),"",IF(F751="Long",(H751-G751)*I751,(G751-H751)*I751))</f>
        <v/>
      </c>
      <c r="N751" s="6">
        <f>IF(OR(M751="",L751="",L751=0),"",M751/L751)</f>
        <v/>
      </c>
      <c r="O751">
        <f>IF(M751="","",IF(M751&gt;0,"Win",IF(M751&lt;0,"Loss","Scratch")))</f>
        <v/>
      </c>
    </row>
    <row r="752">
      <c r="A752" s="5" t="n"/>
      <c r="G752" s="6" t="n"/>
      <c r="H752" s="6" t="n"/>
      <c r="J752" s="6" t="n"/>
      <c r="K752" s="6" t="n"/>
      <c r="L752" s="7">
        <f>IF(OR(G752="",J752="",I752=""),"",ABS(G752-J752)*I752)</f>
        <v/>
      </c>
      <c r="M752" s="7">
        <f>IF(OR(G752="",H752="",I752="",F752=""),"",IF(F752="Long",(H752-G752)*I752,(G752-H752)*I752))</f>
        <v/>
      </c>
      <c r="N752" s="6">
        <f>IF(OR(M752="",L752="",L752=0),"",M752/L752)</f>
        <v/>
      </c>
      <c r="O752">
        <f>IF(M752="","",IF(M752&gt;0,"Win",IF(M752&lt;0,"Loss","Scratch")))</f>
        <v/>
      </c>
    </row>
    <row r="753">
      <c r="A753" s="5" t="n"/>
      <c r="G753" s="6" t="n"/>
      <c r="H753" s="6" t="n"/>
      <c r="J753" s="6" t="n"/>
      <c r="K753" s="6" t="n"/>
      <c r="L753" s="7">
        <f>IF(OR(G753="",J753="",I753=""),"",ABS(G753-J753)*I753)</f>
        <v/>
      </c>
      <c r="M753" s="7">
        <f>IF(OR(G753="",H753="",I753="",F753=""),"",IF(F753="Long",(H753-G753)*I753,(G753-H753)*I753))</f>
        <v/>
      </c>
      <c r="N753" s="6">
        <f>IF(OR(M753="",L753="",L753=0),"",M753/L753)</f>
        <v/>
      </c>
      <c r="O753">
        <f>IF(M753="","",IF(M753&gt;0,"Win",IF(M753&lt;0,"Loss","Scratch")))</f>
        <v/>
      </c>
    </row>
    <row r="754">
      <c r="A754" s="5" t="n"/>
      <c r="G754" s="6" t="n"/>
      <c r="H754" s="6" t="n"/>
      <c r="J754" s="6" t="n"/>
      <c r="K754" s="6" t="n"/>
      <c r="L754" s="7">
        <f>IF(OR(G754="",J754="",I754=""),"",ABS(G754-J754)*I754)</f>
        <v/>
      </c>
      <c r="M754" s="7">
        <f>IF(OR(G754="",H754="",I754="",F754=""),"",IF(F754="Long",(H754-G754)*I754,(G754-H754)*I754))</f>
        <v/>
      </c>
      <c r="N754" s="6">
        <f>IF(OR(M754="",L754="",L754=0),"",M754/L754)</f>
        <v/>
      </c>
      <c r="O754">
        <f>IF(M754="","",IF(M754&gt;0,"Win",IF(M754&lt;0,"Loss","Scratch")))</f>
        <v/>
      </c>
    </row>
    <row r="755">
      <c r="A755" s="5" t="n"/>
      <c r="G755" s="6" t="n"/>
      <c r="H755" s="6" t="n"/>
      <c r="J755" s="6" t="n"/>
      <c r="K755" s="6" t="n"/>
      <c r="L755" s="7">
        <f>IF(OR(G755="",J755="",I755=""),"",ABS(G755-J755)*I755)</f>
        <v/>
      </c>
      <c r="M755" s="7">
        <f>IF(OR(G755="",H755="",I755="",F755=""),"",IF(F755="Long",(H755-G755)*I755,(G755-H755)*I755))</f>
        <v/>
      </c>
      <c r="N755" s="6">
        <f>IF(OR(M755="",L755="",L755=0),"",M755/L755)</f>
        <v/>
      </c>
      <c r="O755">
        <f>IF(M755="","",IF(M755&gt;0,"Win",IF(M755&lt;0,"Loss","Scratch")))</f>
        <v/>
      </c>
    </row>
    <row r="756">
      <c r="A756" s="5" t="n"/>
      <c r="G756" s="6" t="n"/>
      <c r="H756" s="6" t="n"/>
      <c r="J756" s="6" t="n"/>
      <c r="K756" s="6" t="n"/>
      <c r="L756" s="7">
        <f>IF(OR(G756="",J756="",I756=""),"",ABS(G756-J756)*I756)</f>
        <v/>
      </c>
      <c r="M756" s="7">
        <f>IF(OR(G756="",H756="",I756="",F756=""),"",IF(F756="Long",(H756-G756)*I756,(G756-H756)*I756))</f>
        <v/>
      </c>
      <c r="N756" s="6">
        <f>IF(OR(M756="",L756="",L756=0),"",M756/L756)</f>
        <v/>
      </c>
      <c r="O756">
        <f>IF(M756="","",IF(M756&gt;0,"Win",IF(M756&lt;0,"Loss","Scratch")))</f>
        <v/>
      </c>
    </row>
    <row r="757">
      <c r="A757" s="5" t="n"/>
      <c r="G757" s="6" t="n"/>
      <c r="H757" s="6" t="n"/>
      <c r="J757" s="6" t="n"/>
      <c r="K757" s="6" t="n"/>
      <c r="L757" s="7">
        <f>IF(OR(G757="",J757="",I757=""),"",ABS(G757-J757)*I757)</f>
        <v/>
      </c>
      <c r="M757" s="7">
        <f>IF(OR(G757="",H757="",I757="",F757=""),"",IF(F757="Long",(H757-G757)*I757,(G757-H757)*I757))</f>
        <v/>
      </c>
      <c r="N757" s="6">
        <f>IF(OR(M757="",L757="",L757=0),"",M757/L757)</f>
        <v/>
      </c>
      <c r="O757">
        <f>IF(M757="","",IF(M757&gt;0,"Win",IF(M757&lt;0,"Loss","Scratch")))</f>
        <v/>
      </c>
    </row>
    <row r="758">
      <c r="A758" s="5" t="n"/>
      <c r="G758" s="6" t="n"/>
      <c r="H758" s="6" t="n"/>
      <c r="J758" s="6" t="n"/>
      <c r="K758" s="6" t="n"/>
      <c r="L758" s="7">
        <f>IF(OR(G758="",J758="",I758=""),"",ABS(G758-J758)*I758)</f>
        <v/>
      </c>
      <c r="M758" s="7">
        <f>IF(OR(G758="",H758="",I758="",F758=""),"",IF(F758="Long",(H758-G758)*I758,(G758-H758)*I758))</f>
        <v/>
      </c>
      <c r="N758" s="6">
        <f>IF(OR(M758="",L758="",L758=0),"",M758/L758)</f>
        <v/>
      </c>
      <c r="O758">
        <f>IF(M758="","",IF(M758&gt;0,"Win",IF(M758&lt;0,"Loss","Scratch")))</f>
        <v/>
      </c>
    </row>
    <row r="759">
      <c r="A759" s="5" t="n"/>
      <c r="G759" s="6" t="n"/>
      <c r="H759" s="6" t="n"/>
      <c r="J759" s="6" t="n"/>
      <c r="K759" s="6" t="n"/>
      <c r="L759" s="7">
        <f>IF(OR(G759="",J759="",I759=""),"",ABS(G759-J759)*I759)</f>
        <v/>
      </c>
      <c r="M759" s="7">
        <f>IF(OR(G759="",H759="",I759="",F759=""),"",IF(F759="Long",(H759-G759)*I759,(G759-H759)*I759))</f>
        <v/>
      </c>
      <c r="N759" s="6">
        <f>IF(OR(M759="",L759="",L759=0),"",M759/L759)</f>
        <v/>
      </c>
      <c r="O759">
        <f>IF(M759="","",IF(M759&gt;0,"Win",IF(M759&lt;0,"Loss","Scratch")))</f>
        <v/>
      </c>
    </row>
    <row r="760">
      <c r="A760" s="5" t="n"/>
      <c r="G760" s="6" t="n"/>
      <c r="H760" s="6" t="n"/>
      <c r="J760" s="6" t="n"/>
      <c r="K760" s="6" t="n"/>
      <c r="L760" s="7">
        <f>IF(OR(G760="",J760="",I760=""),"",ABS(G760-J760)*I760)</f>
        <v/>
      </c>
      <c r="M760" s="7">
        <f>IF(OR(G760="",H760="",I760="",F760=""),"",IF(F760="Long",(H760-G760)*I760,(G760-H760)*I760))</f>
        <v/>
      </c>
      <c r="N760" s="6">
        <f>IF(OR(M760="",L760="",L760=0),"",M760/L760)</f>
        <v/>
      </c>
      <c r="O760">
        <f>IF(M760="","",IF(M760&gt;0,"Win",IF(M760&lt;0,"Loss","Scratch")))</f>
        <v/>
      </c>
    </row>
    <row r="761">
      <c r="A761" s="5" t="n"/>
      <c r="G761" s="6" t="n"/>
      <c r="H761" s="6" t="n"/>
      <c r="J761" s="6" t="n"/>
      <c r="K761" s="6" t="n"/>
      <c r="L761" s="7">
        <f>IF(OR(G761="",J761="",I761=""),"",ABS(G761-J761)*I761)</f>
        <v/>
      </c>
      <c r="M761" s="7">
        <f>IF(OR(G761="",H761="",I761="",F761=""),"",IF(F761="Long",(H761-G761)*I761,(G761-H761)*I761))</f>
        <v/>
      </c>
      <c r="N761" s="6">
        <f>IF(OR(M761="",L761="",L761=0),"",M761/L761)</f>
        <v/>
      </c>
      <c r="O761">
        <f>IF(M761="","",IF(M761&gt;0,"Win",IF(M761&lt;0,"Loss","Scratch")))</f>
        <v/>
      </c>
    </row>
    <row r="762">
      <c r="A762" s="5" t="n"/>
      <c r="G762" s="6" t="n"/>
      <c r="H762" s="6" t="n"/>
      <c r="J762" s="6" t="n"/>
      <c r="K762" s="6" t="n"/>
      <c r="L762" s="7">
        <f>IF(OR(G762="",J762="",I762=""),"",ABS(G762-J762)*I762)</f>
        <v/>
      </c>
      <c r="M762" s="7">
        <f>IF(OR(G762="",H762="",I762="",F762=""),"",IF(F762="Long",(H762-G762)*I762,(G762-H762)*I762))</f>
        <v/>
      </c>
      <c r="N762" s="6">
        <f>IF(OR(M762="",L762="",L762=0),"",M762/L762)</f>
        <v/>
      </c>
      <c r="O762">
        <f>IF(M762="","",IF(M762&gt;0,"Win",IF(M762&lt;0,"Loss","Scratch")))</f>
        <v/>
      </c>
    </row>
    <row r="763">
      <c r="A763" s="5" t="n"/>
      <c r="G763" s="6" t="n"/>
      <c r="H763" s="6" t="n"/>
      <c r="J763" s="6" t="n"/>
      <c r="K763" s="6" t="n"/>
      <c r="L763" s="7">
        <f>IF(OR(G763="",J763="",I763=""),"",ABS(G763-J763)*I763)</f>
        <v/>
      </c>
      <c r="M763" s="7">
        <f>IF(OR(G763="",H763="",I763="",F763=""),"",IF(F763="Long",(H763-G763)*I763,(G763-H763)*I763))</f>
        <v/>
      </c>
      <c r="N763" s="6">
        <f>IF(OR(M763="",L763="",L763=0),"",M763/L763)</f>
        <v/>
      </c>
      <c r="O763">
        <f>IF(M763="","",IF(M763&gt;0,"Win",IF(M763&lt;0,"Loss","Scratch")))</f>
        <v/>
      </c>
    </row>
    <row r="764">
      <c r="A764" s="5" t="n"/>
      <c r="G764" s="6" t="n"/>
      <c r="H764" s="6" t="n"/>
      <c r="J764" s="6" t="n"/>
      <c r="K764" s="6" t="n"/>
      <c r="L764" s="7">
        <f>IF(OR(G764="",J764="",I764=""),"",ABS(G764-J764)*I764)</f>
        <v/>
      </c>
      <c r="M764" s="7">
        <f>IF(OR(G764="",H764="",I764="",F764=""),"",IF(F764="Long",(H764-G764)*I764,(G764-H764)*I764))</f>
        <v/>
      </c>
      <c r="N764" s="6">
        <f>IF(OR(M764="",L764="",L764=0),"",M764/L764)</f>
        <v/>
      </c>
      <c r="O764">
        <f>IF(M764="","",IF(M764&gt;0,"Win",IF(M764&lt;0,"Loss","Scratch")))</f>
        <v/>
      </c>
    </row>
    <row r="765">
      <c r="A765" s="5" t="n"/>
      <c r="G765" s="6" t="n"/>
      <c r="H765" s="6" t="n"/>
      <c r="J765" s="6" t="n"/>
      <c r="K765" s="6" t="n"/>
      <c r="L765" s="7">
        <f>IF(OR(G765="",J765="",I765=""),"",ABS(G765-J765)*I765)</f>
        <v/>
      </c>
      <c r="M765" s="7">
        <f>IF(OR(G765="",H765="",I765="",F765=""),"",IF(F765="Long",(H765-G765)*I765,(G765-H765)*I765))</f>
        <v/>
      </c>
      <c r="N765" s="6">
        <f>IF(OR(M765="",L765="",L765=0),"",M765/L765)</f>
        <v/>
      </c>
      <c r="O765">
        <f>IF(M765="","",IF(M765&gt;0,"Win",IF(M765&lt;0,"Loss","Scratch")))</f>
        <v/>
      </c>
    </row>
    <row r="766">
      <c r="A766" s="5" t="n"/>
      <c r="G766" s="6" t="n"/>
      <c r="H766" s="6" t="n"/>
      <c r="J766" s="6" t="n"/>
      <c r="K766" s="6" t="n"/>
      <c r="L766" s="7">
        <f>IF(OR(G766="",J766="",I766=""),"",ABS(G766-J766)*I766)</f>
        <v/>
      </c>
      <c r="M766" s="7">
        <f>IF(OR(G766="",H766="",I766="",F766=""),"",IF(F766="Long",(H766-G766)*I766,(G766-H766)*I766))</f>
        <v/>
      </c>
      <c r="N766" s="6">
        <f>IF(OR(M766="",L766="",L766=0),"",M766/L766)</f>
        <v/>
      </c>
      <c r="O766">
        <f>IF(M766="","",IF(M766&gt;0,"Win",IF(M766&lt;0,"Loss","Scratch")))</f>
        <v/>
      </c>
    </row>
    <row r="767">
      <c r="A767" s="5" t="n"/>
      <c r="G767" s="6" t="n"/>
      <c r="H767" s="6" t="n"/>
      <c r="J767" s="6" t="n"/>
      <c r="K767" s="6" t="n"/>
      <c r="L767" s="7">
        <f>IF(OR(G767="",J767="",I767=""),"",ABS(G767-J767)*I767)</f>
        <v/>
      </c>
      <c r="M767" s="7">
        <f>IF(OR(G767="",H767="",I767="",F767=""),"",IF(F767="Long",(H767-G767)*I767,(G767-H767)*I767))</f>
        <v/>
      </c>
      <c r="N767" s="6">
        <f>IF(OR(M767="",L767="",L767=0),"",M767/L767)</f>
        <v/>
      </c>
      <c r="O767">
        <f>IF(M767="","",IF(M767&gt;0,"Win",IF(M767&lt;0,"Loss","Scratch")))</f>
        <v/>
      </c>
    </row>
    <row r="768">
      <c r="A768" s="5" t="n"/>
      <c r="G768" s="6" t="n"/>
      <c r="H768" s="6" t="n"/>
      <c r="J768" s="6" t="n"/>
      <c r="K768" s="6" t="n"/>
      <c r="L768" s="7">
        <f>IF(OR(G768="",J768="",I768=""),"",ABS(G768-J768)*I768)</f>
        <v/>
      </c>
      <c r="M768" s="7">
        <f>IF(OR(G768="",H768="",I768="",F768=""),"",IF(F768="Long",(H768-G768)*I768,(G768-H768)*I768))</f>
        <v/>
      </c>
      <c r="N768" s="6">
        <f>IF(OR(M768="",L768="",L768=0),"",M768/L768)</f>
        <v/>
      </c>
      <c r="O768">
        <f>IF(M768="","",IF(M768&gt;0,"Win",IF(M768&lt;0,"Loss","Scratch")))</f>
        <v/>
      </c>
    </row>
    <row r="769">
      <c r="A769" s="5" t="n"/>
      <c r="G769" s="6" t="n"/>
      <c r="H769" s="6" t="n"/>
      <c r="J769" s="6" t="n"/>
      <c r="K769" s="6" t="n"/>
      <c r="L769" s="7">
        <f>IF(OR(G769="",J769="",I769=""),"",ABS(G769-J769)*I769)</f>
        <v/>
      </c>
      <c r="M769" s="7">
        <f>IF(OR(G769="",H769="",I769="",F769=""),"",IF(F769="Long",(H769-G769)*I769,(G769-H769)*I769))</f>
        <v/>
      </c>
      <c r="N769" s="6">
        <f>IF(OR(M769="",L769="",L769=0),"",M769/L769)</f>
        <v/>
      </c>
      <c r="O769">
        <f>IF(M769="","",IF(M769&gt;0,"Win",IF(M769&lt;0,"Loss","Scratch")))</f>
        <v/>
      </c>
    </row>
    <row r="770">
      <c r="A770" s="5" t="n"/>
      <c r="G770" s="6" t="n"/>
      <c r="H770" s="6" t="n"/>
      <c r="J770" s="6" t="n"/>
      <c r="K770" s="6" t="n"/>
      <c r="L770" s="7">
        <f>IF(OR(G770="",J770="",I770=""),"",ABS(G770-J770)*I770)</f>
        <v/>
      </c>
      <c r="M770" s="7">
        <f>IF(OR(G770="",H770="",I770="",F770=""),"",IF(F770="Long",(H770-G770)*I770,(G770-H770)*I770))</f>
        <v/>
      </c>
      <c r="N770" s="6">
        <f>IF(OR(M770="",L770="",L770=0),"",M770/L770)</f>
        <v/>
      </c>
      <c r="O770">
        <f>IF(M770="","",IF(M770&gt;0,"Win",IF(M770&lt;0,"Loss","Scratch")))</f>
        <v/>
      </c>
    </row>
    <row r="771">
      <c r="A771" s="5" t="n"/>
      <c r="G771" s="6" t="n"/>
      <c r="H771" s="6" t="n"/>
      <c r="J771" s="6" t="n"/>
      <c r="K771" s="6" t="n"/>
      <c r="L771" s="7">
        <f>IF(OR(G771="",J771="",I771=""),"",ABS(G771-J771)*I771)</f>
        <v/>
      </c>
      <c r="M771" s="7">
        <f>IF(OR(G771="",H771="",I771="",F771=""),"",IF(F771="Long",(H771-G771)*I771,(G771-H771)*I771))</f>
        <v/>
      </c>
      <c r="N771" s="6">
        <f>IF(OR(M771="",L771="",L771=0),"",M771/L771)</f>
        <v/>
      </c>
      <c r="O771">
        <f>IF(M771="","",IF(M771&gt;0,"Win",IF(M771&lt;0,"Loss","Scratch")))</f>
        <v/>
      </c>
    </row>
    <row r="772">
      <c r="A772" s="5" t="n"/>
      <c r="G772" s="6" t="n"/>
      <c r="H772" s="6" t="n"/>
      <c r="J772" s="6" t="n"/>
      <c r="K772" s="6" t="n"/>
      <c r="L772" s="7">
        <f>IF(OR(G772="",J772="",I772=""),"",ABS(G772-J772)*I772)</f>
        <v/>
      </c>
      <c r="M772" s="7">
        <f>IF(OR(G772="",H772="",I772="",F772=""),"",IF(F772="Long",(H772-G772)*I772,(G772-H772)*I772))</f>
        <v/>
      </c>
      <c r="N772" s="6">
        <f>IF(OR(M772="",L772="",L772=0),"",M772/L772)</f>
        <v/>
      </c>
      <c r="O772">
        <f>IF(M772="","",IF(M772&gt;0,"Win",IF(M772&lt;0,"Loss","Scratch")))</f>
        <v/>
      </c>
    </row>
    <row r="773">
      <c r="A773" s="5" t="n"/>
      <c r="G773" s="6" t="n"/>
      <c r="H773" s="6" t="n"/>
      <c r="J773" s="6" t="n"/>
      <c r="K773" s="6" t="n"/>
      <c r="L773" s="7">
        <f>IF(OR(G773="",J773="",I773=""),"",ABS(G773-J773)*I773)</f>
        <v/>
      </c>
      <c r="M773" s="7">
        <f>IF(OR(G773="",H773="",I773="",F773=""),"",IF(F773="Long",(H773-G773)*I773,(G773-H773)*I773))</f>
        <v/>
      </c>
      <c r="N773" s="6">
        <f>IF(OR(M773="",L773="",L773=0),"",M773/L773)</f>
        <v/>
      </c>
      <c r="O773">
        <f>IF(M773="","",IF(M773&gt;0,"Win",IF(M773&lt;0,"Loss","Scratch")))</f>
        <v/>
      </c>
    </row>
    <row r="774">
      <c r="A774" s="5" t="n"/>
      <c r="G774" s="6" t="n"/>
      <c r="H774" s="6" t="n"/>
      <c r="J774" s="6" t="n"/>
      <c r="K774" s="6" t="n"/>
      <c r="L774" s="7">
        <f>IF(OR(G774="",J774="",I774=""),"",ABS(G774-J774)*I774)</f>
        <v/>
      </c>
      <c r="M774" s="7">
        <f>IF(OR(G774="",H774="",I774="",F774=""),"",IF(F774="Long",(H774-G774)*I774,(G774-H774)*I774))</f>
        <v/>
      </c>
      <c r="N774" s="6">
        <f>IF(OR(M774="",L774="",L774=0),"",M774/L774)</f>
        <v/>
      </c>
      <c r="O774">
        <f>IF(M774="","",IF(M774&gt;0,"Win",IF(M774&lt;0,"Loss","Scratch")))</f>
        <v/>
      </c>
    </row>
    <row r="775">
      <c r="A775" s="5" t="n"/>
      <c r="G775" s="6" t="n"/>
      <c r="H775" s="6" t="n"/>
      <c r="J775" s="6" t="n"/>
      <c r="K775" s="6" t="n"/>
      <c r="L775" s="7">
        <f>IF(OR(G775="",J775="",I775=""),"",ABS(G775-J775)*I775)</f>
        <v/>
      </c>
      <c r="M775" s="7">
        <f>IF(OR(G775="",H775="",I775="",F775=""),"",IF(F775="Long",(H775-G775)*I775,(G775-H775)*I775))</f>
        <v/>
      </c>
      <c r="N775" s="6">
        <f>IF(OR(M775="",L775="",L775=0),"",M775/L775)</f>
        <v/>
      </c>
      <c r="O775">
        <f>IF(M775="","",IF(M775&gt;0,"Win",IF(M775&lt;0,"Loss","Scratch")))</f>
        <v/>
      </c>
    </row>
    <row r="776">
      <c r="A776" s="5" t="n"/>
      <c r="G776" s="6" t="n"/>
      <c r="H776" s="6" t="n"/>
      <c r="J776" s="6" t="n"/>
      <c r="K776" s="6" t="n"/>
      <c r="L776" s="7">
        <f>IF(OR(G776="",J776="",I776=""),"",ABS(G776-J776)*I776)</f>
        <v/>
      </c>
      <c r="M776" s="7">
        <f>IF(OR(G776="",H776="",I776="",F776=""),"",IF(F776="Long",(H776-G776)*I776,(G776-H776)*I776))</f>
        <v/>
      </c>
      <c r="N776" s="6">
        <f>IF(OR(M776="",L776="",L776=0),"",M776/L776)</f>
        <v/>
      </c>
      <c r="O776">
        <f>IF(M776="","",IF(M776&gt;0,"Win",IF(M776&lt;0,"Loss","Scratch")))</f>
        <v/>
      </c>
    </row>
    <row r="777">
      <c r="A777" s="5" t="n"/>
      <c r="G777" s="6" t="n"/>
      <c r="H777" s="6" t="n"/>
      <c r="J777" s="6" t="n"/>
      <c r="K777" s="6" t="n"/>
      <c r="L777" s="7">
        <f>IF(OR(G777="",J777="",I777=""),"",ABS(G777-J777)*I777)</f>
        <v/>
      </c>
      <c r="M777" s="7">
        <f>IF(OR(G777="",H777="",I777="",F777=""),"",IF(F777="Long",(H777-G777)*I777,(G777-H777)*I777))</f>
        <v/>
      </c>
      <c r="N777" s="6">
        <f>IF(OR(M777="",L777="",L777=0),"",M777/L777)</f>
        <v/>
      </c>
      <c r="O777">
        <f>IF(M777="","",IF(M777&gt;0,"Win",IF(M777&lt;0,"Loss","Scratch")))</f>
        <v/>
      </c>
    </row>
    <row r="778">
      <c r="A778" s="5" t="n"/>
      <c r="G778" s="6" t="n"/>
      <c r="H778" s="6" t="n"/>
      <c r="J778" s="6" t="n"/>
      <c r="K778" s="6" t="n"/>
      <c r="L778" s="7">
        <f>IF(OR(G778="",J778="",I778=""),"",ABS(G778-J778)*I778)</f>
        <v/>
      </c>
      <c r="M778" s="7">
        <f>IF(OR(G778="",H778="",I778="",F778=""),"",IF(F778="Long",(H778-G778)*I778,(G778-H778)*I778))</f>
        <v/>
      </c>
      <c r="N778" s="6">
        <f>IF(OR(M778="",L778="",L778=0),"",M778/L778)</f>
        <v/>
      </c>
      <c r="O778">
        <f>IF(M778="","",IF(M778&gt;0,"Win",IF(M778&lt;0,"Loss","Scratch")))</f>
        <v/>
      </c>
    </row>
    <row r="779">
      <c r="A779" s="5" t="n"/>
      <c r="G779" s="6" t="n"/>
      <c r="H779" s="6" t="n"/>
      <c r="J779" s="6" t="n"/>
      <c r="K779" s="6" t="n"/>
      <c r="L779" s="7">
        <f>IF(OR(G779="",J779="",I779=""),"",ABS(G779-J779)*I779)</f>
        <v/>
      </c>
      <c r="M779" s="7">
        <f>IF(OR(G779="",H779="",I779="",F779=""),"",IF(F779="Long",(H779-G779)*I779,(G779-H779)*I779))</f>
        <v/>
      </c>
      <c r="N779" s="6">
        <f>IF(OR(M779="",L779="",L779=0),"",M779/L779)</f>
        <v/>
      </c>
      <c r="O779">
        <f>IF(M779="","",IF(M779&gt;0,"Win",IF(M779&lt;0,"Loss","Scratch")))</f>
        <v/>
      </c>
    </row>
    <row r="780">
      <c r="A780" s="5" t="n"/>
      <c r="G780" s="6" t="n"/>
      <c r="H780" s="6" t="n"/>
      <c r="J780" s="6" t="n"/>
      <c r="K780" s="6" t="n"/>
      <c r="L780" s="7">
        <f>IF(OR(G780="",J780="",I780=""),"",ABS(G780-J780)*I780)</f>
        <v/>
      </c>
      <c r="M780" s="7">
        <f>IF(OR(G780="",H780="",I780="",F780=""),"",IF(F780="Long",(H780-G780)*I780,(G780-H780)*I780))</f>
        <v/>
      </c>
      <c r="N780" s="6">
        <f>IF(OR(M780="",L780="",L780=0),"",M780/L780)</f>
        <v/>
      </c>
      <c r="O780">
        <f>IF(M780="","",IF(M780&gt;0,"Win",IF(M780&lt;0,"Loss","Scratch")))</f>
        <v/>
      </c>
    </row>
    <row r="781">
      <c r="A781" s="5" t="n"/>
      <c r="G781" s="6" t="n"/>
      <c r="H781" s="6" t="n"/>
      <c r="J781" s="6" t="n"/>
      <c r="K781" s="6" t="n"/>
      <c r="L781" s="7">
        <f>IF(OR(G781="",J781="",I781=""),"",ABS(G781-J781)*I781)</f>
        <v/>
      </c>
      <c r="M781" s="7">
        <f>IF(OR(G781="",H781="",I781="",F781=""),"",IF(F781="Long",(H781-G781)*I781,(G781-H781)*I781))</f>
        <v/>
      </c>
      <c r="N781" s="6">
        <f>IF(OR(M781="",L781="",L781=0),"",M781/L781)</f>
        <v/>
      </c>
      <c r="O781">
        <f>IF(M781="","",IF(M781&gt;0,"Win",IF(M781&lt;0,"Loss","Scratch")))</f>
        <v/>
      </c>
    </row>
    <row r="782">
      <c r="A782" s="5" t="n"/>
      <c r="G782" s="6" t="n"/>
      <c r="H782" s="6" t="n"/>
      <c r="J782" s="6" t="n"/>
      <c r="K782" s="6" t="n"/>
      <c r="L782" s="7">
        <f>IF(OR(G782="",J782="",I782=""),"",ABS(G782-J782)*I782)</f>
        <v/>
      </c>
      <c r="M782" s="7">
        <f>IF(OR(G782="",H782="",I782="",F782=""),"",IF(F782="Long",(H782-G782)*I782,(G782-H782)*I782))</f>
        <v/>
      </c>
      <c r="N782" s="6">
        <f>IF(OR(M782="",L782="",L782=0),"",M782/L782)</f>
        <v/>
      </c>
      <c r="O782">
        <f>IF(M782="","",IF(M782&gt;0,"Win",IF(M782&lt;0,"Loss","Scratch")))</f>
        <v/>
      </c>
    </row>
    <row r="783">
      <c r="A783" s="5" t="n"/>
      <c r="G783" s="6" t="n"/>
      <c r="H783" s="6" t="n"/>
      <c r="J783" s="6" t="n"/>
      <c r="K783" s="6" t="n"/>
      <c r="L783" s="7">
        <f>IF(OR(G783="",J783="",I783=""),"",ABS(G783-J783)*I783)</f>
        <v/>
      </c>
      <c r="M783" s="7">
        <f>IF(OR(G783="",H783="",I783="",F783=""),"",IF(F783="Long",(H783-G783)*I783,(G783-H783)*I783))</f>
        <v/>
      </c>
      <c r="N783" s="6">
        <f>IF(OR(M783="",L783="",L783=0),"",M783/L783)</f>
        <v/>
      </c>
      <c r="O783">
        <f>IF(M783="","",IF(M783&gt;0,"Win",IF(M783&lt;0,"Loss","Scratch")))</f>
        <v/>
      </c>
    </row>
    <row r="784">
      <c r="A784" s="5" t="n"/>
      <c r="G784" s="6" t="n"/>
      <c r="H784" s="6" t="n"/>
      <c r="J784" s="6" t="n"/>
      <c r="K784" s="6" t="n"/>
      <c r="L784" s="7">
        <f>IF(OR(G784="",J784="",I784=""),"",ABS(G784-J784)*I784)</f>
        <v/>
      </c>
      <c r="M784" s="7">
        <f>IF(OR(G784="",H784="",I784="",F784=""),"",IF(F784="Long",(H784-G784)*I784,(G784-H784)*I784))</f>
        <v/>
      </c>
      <c r="N784" s="6">
        <f>IF(OR(M784="",L784="",L784=0),"",M784/L784)</f>
        <v/>
      </c>
      <c r="O784">
        <f>IF(M784="","",IF(M784&gt;0,"Win",IF(M784&lt;0,"Loss","Scratch")))</f>
        <v/>
      </c>
    </row>
    <row r="785">
      <c r="A785" s="5" t="n"/>
      <c r="G785" s="6" t="n"/>
      <c r="H785" s="6" t="n"/>
      <c r="J785" s="6" t="n"/>
      <c r="K785" s="6" t="n"/>
      <c r="L785" s="7">
        <f>IF(OR(G785="",J785="",I785=""),"",ABS(G785-J785)*I785)</f>
        <v/>
      </c>
      <c r="M785" s="7">
        <f>IF(OR(G785="",H785="",I785="",F785=""),"",IF(F785="Long",(H785-G785)*I785,(G785-H785)*I785))</f>
        <v/>
      </c>
      <c r="N785" s="6">
        <f>IF(OR(M785="",L785="",L785=0),"",M785/L785)</f>
        <v/>
      </c>
      <c r="O785">
        <f>IF(M785="","",IF(M785&gt;0,"Win",IF(M785&lt;0,"Loss","Scratch")))</f>
        <v/>
      </c>
    </row>
    <row r="786">
      <c r="A786" s="5" t="n"/>
      <c r="G786" s="6" t="n"/>
      <c r="H786" s="6" t="n"/>
      <c r="J786" s="6" t="n"/>
      <c r="K786" s="6" t="n"/>
      <c r="L786" s="7">
        <f>IF(OR(G786="",J786="",I786=""),"",ABS(G786-J786)*I786)</f>
        <v/>
      </c>
      <c r="M786" s="7">
        <f>IF(OR(G786="",H786="",I786="",F786=""),"",IF(F786="Long",(H786-G786)*I786,(G786-H786)*I786))</f>
        <v/>
      </c>
      <c r="N786" s="6">
        <f>IF(OR(M786="",L786="",L786=0),"",M786/L786)</f>
        <v/>
      </c>
      <c r="O786">
        <f>IF(M786="","",IF(M786&gt;0,"Win",IF(M786&lt;0,"Loss","Scratch")))</f>
        <v/>
      </c>
    </row>
    <row r="787">
      <c r="A787" s="5" t="n"/>
      <c r="G787" s="6" t="n"/>
      <c r="H787" s="6" t="n"/>
      <c r="J787" s="6" t="n"/>
      <c r="K787" s="6" t="n"/>
      <c r="L787" s="7">
        <f>IF(OR(G787="",J787="",I787=""),"",ABS(G787-J787)*I787)</f>
        <v/>
      </c>
      <c r="M787" s="7">
        <f>IF(OR(G787="",H787="",I787="",F787=""),"",IF(F787="Long",(H787-G787)*I787,(G787-H787)*I787))</f>
        <v/>
      </c>
      <c r="N787" s="6">
        <f>IF(OR(M787="",L787="",L787=0),"",M787/L787)</f>
        <v/>
      </c>
      <c r="O787">
        <f>IF(M787="","",IF(M787&gt;0,"Win",IF(M787&lt;0,"Loss","Scratch")))</f>
        <v/>
      </c>
    </row>
    <row r="788">
      <c r="A788" s="5" t="n"/>
      <c r="G788" s="6" t="n"/>
      <c r="H788" s="6" t="n"/>
      <c r="J788" s="6" t="n"/>
      <c r="K788" s="6" t="n"/>
      <c r="L788" s="7">
        <f>IF(OR(G788="",J788="",I788=""),"",ABS(G788-J788)*I788)</f>
        <v/>
      </c>
      <c r="M788" s="7">
        <f>IF(OR(G788="",H788="",I788="",F788=""),"",IF(F788="Long",(H788-G788)*I788,(G788-H788)*I788))</f>
        <v/>
      </c>
      <c r="N788" s="6">
        <f>IF(OR(M788="",L788="",L788=0),"",M788/L788)</f>
        <v/>
      </c>
      <c r="O788">
        <f>IF(M788="","",IF(M788&gt;0,"Win",IF(M788&lt;0,"Loss","Scratch")))</f>
        <v/>
      </c>
    </row>
    <row r="789">
      <c r="A789" s="5" t="n"/>
      <c r="G789" s="6" t="n"/>
      <c r="H789" s="6" t="n"/>
      <c r="J789" s="6" t="n"/>
      <c r="K789" s="6" t="n"/>
      <c r="L789" s="7">
        <f>IF(OR(G789="",J789="",I789=""),"",ABS(G789-J789)*I789)</f>
        <v/>
      </c>
      <c r="M789" s="7">
        <f>IF(OR(G789="",H789="",I789="",F789=""),"",IF(F789="Long",(H789-G789)*I789,(G789-H789)*I789))</f>
        <v/>
      </c>
      <c r="N789" s="6">
        <f>IF(OR(M789="",L789="",L789=0),"",M789/L789)</f>
        <v/>
      </c>
      <c r="O789">
        <f>IF(M789="","",IF(M789&gt;0,"Win",IF(M789&lt;0,"Loss","Scratch")))</f>
        <v/>
      </c>
    </row>
    <row r="790">
      <c r="A790" s="5" t="n"/>
      <c r="G790" s="6" t="n"/>
      <c r="H790" s="6" t="n"/>
      <c r="J790" s="6" t="n"/>
      <c r="K790" s="6" t="n"/>
      <c r="L790" s="7">
        <f>IF(OR(G790="",J790="",I790=""),"",ABS(G790-J790)*I790)</f>
        <v/>
      </c>
      <c r="M790" s="7">
        <f>IF(OR(G790="",H790="",I790="",F790=""),"",IF(F790="Long",(H790-G790)*I790,(G790-H790)*I790))</f>
        <v/>
      </c>
      <c r="N790" s="6">
        <f>IF(OR(M790="",L790="",L790=0),"",M790/L790)</f>
        <v/>
      </c>
      <c r="O790">
        <f>IF(M790="","",IF(M790&gt;0,"Win",IF(M790&lt;0,"Loss","Scratch")))</f>
        <v/>
      </c>
    </row>
    <row r="791">
      <c r="A791" s="5" t="n"/>
      <c r="G791" s="6" t="n"/>
      <c r="H791" s="6" t="n"/>
      <c r="J791" s="6" t="n"/>
      <c r="K791" s="6" t="n"/>
      <c r="L791" s="7">
        <f>IF(OR(G791="",J791="",I791=""),"",ABS(G791-J791)*I791)</f>
        <v/>
      </c>
      <c r="M791" s="7">
        <f>IF(OR(G791="",H791="",I791="",F791=""),"",IF(F791="Long",(H791-G791)*I791,(G791-H791)*I791))</f>
        <v/>
      </c>
      <c r="N791" s="6">
        <f>IF(OR(M791="",L791="",L791=0),"",M791/L791)</f>
        <v/>
      </c>
      <c r="O791">
        <f>IF(M791="","",IF(M791&gt;0,"Win",IF(M791&lt;0,"Loss","Scratch")))</f>
        <v/>
      </c>
    </row>
    <row r="792">
      <c r="A792" s="5" t="n"/>
      <c r="G792" s="6" t="n"/>
      <c r="H792" s="6" t="n"/>
      <c r="J792" s="6" t="n"/>
      <c r="K792" s="6" t="n"/>
      <c r="L792" s="7">
        <f>IF(OR(G792="",J792="",I792=""),"",ABS(G792-J792)*I792)</f>
        <v/>
      </c>
      <c r="M792" s="7">
        <f>IF(OR(G792="",H792="",I792="",F792=""),"",IF(F792="Long",(H792-G792)*I792,(G792-H792)*I792))</f>
        <v/>
      </c>
      <c r="N792" s="6">
        <f>IF(OR(M792="",L792="",L792=0),"",M792/L792)</f>
        <v/>
      </c>
      <c r="O792">
        <f>IF(M792="","",IF(M792&gt;0,"Win",IF(M792&lt;0,"Loss","Scratch")))</f>
        <v/>
      </c>
    </row>
    <row r="793">
      <c r="A793" s="5" t="n"/>
      <c r="G793" s="6" t="n"/>
      <c r="H793" s="6" t="n"/>
      <c r="J793" s="6" t="n"/>
      <c r="K793" s="6" t="n"/>
      <c r="L793" s="7">
        <f>IF(OR(G793="",J793="",I793=""),"",ABS(G793-J793)*I793)</f>
        <v/>
      </c>
      <c r="M793" s="7">
        <f>IF(OR(G793="",H793="",I793="",F793=""),"",IF(F793="Long",(H793-G793)*I793,(G793-H793)*I793))</f>
        <v/>
      </c>
      <c r="N793" s="6">
        <f>IF(OR(M793="",L793="",L793=0),"",M793/L793)</f>
        <v/>
      </c>
      <c r="O793">
        <f>IF(M793="","",IF(M793&gt;0,"Win",IF(M793&lt;0,"Loss","Scratch")))</f>
        <v/>
      </c>
    </row>
    <row r="794">
      <c r="A794" s="5" t="n"/>
      <c r="G794" s="6" t="n"/>
      <c r="H794" s="6" t="n"/>
      <c r="J794" s="6" t="n"/>
      <c r="K794" s="6" t="n"/>
      <c r="L794" s="7">
        <f>IF(OR(G794="",J794="",I794=""),"",ABS(G794-J794)*I794)</f>
        <v/>
      </c>
      <c r="M794" s="7">
        <f>IF(OR(G794="",H794="",I794="",F794=""),"",IF(F794="Long",(H794-G794)*I794,(G794-H794)*I794))</f>
        <v/>
      </c>
      <c r="N794" s="6">
        <f>IF(OR(M794="",L794="",L794=0),"",M794/L794)</f>
        <v/>
      </c>
      <c r="O794">
        <f>IF(M794="","",IF(M794&gt;0,"Win",IF(M794&lt;0,"Loss","Scratch")))</f>
        <v/>
      </c>
    </row>
    <row r="795">
      <c r="A795" s="5" t="n"/>
      <c r="G795" s="6" t="n"/>
      <c r="H795" s="6" t="n"/>
      <c r="J795" s="6" t="n"/>
      <c r="K795" s="6" t="n"/>
      <c r="L795" s="7">
        <f>IF(OR(G795="",J795="",I795=""),"",ABS(G795-J795)*I795)</f>
        <v/>
      </c>
      <c r="M795" s="7">
        <f>IF(OR(G795="",H795="",I795="",F795=""),"",IF(F795="Long",(H795-G795)*I795,(G795-H795)*I795))</f>
        <v/>
      </c>
      <c r="N795" s="6">
        <f>IF(OR(M795="",L795="",L795=0),"",M795/L795)</f>
        <v/>
      </c>
      <c r="O795">
        <f>IF(M795="","",IF(M795&gt;0,"Win",IF(M795&lt;0,"Loss","Scratch")))</f>
        <v/>
      </c>
    </row>
    <row r="796">
      <c r="A796" s="5" t="n"/>
      <c r="G796" s="6" t="n"/>
      <c r="H796" s="6" t="n"/>
      <c r="J796" s="6" t="n"/>
      <c r="K796" s="6" t="n"/>
      <c r="L796" s="7">
        <f>IF(OR(G796="",J796="",I796=""),"",ABS(G796-J796)*I796)</f>
        <v/>
      </c>
      <c r="M796" s="7">
        <f>IF(OR(G796="",H796="",I796="",F796=""),"",IF(F796="Long",(H796-G796)*I796,(G796-H796)*I796))</f>
        <v/>
      </c>
      <c r="N796" s="6">
        <f>IF(OR(M796="",L796="",L796=0),"",M796/L796)</f>
        <v/>
      </c>
      <c r="O796">
        <f>IF(M796="","",IF(M796&gt;0,"Win",IF(M796&lt;0,"Loss","Scratch")))</f>
        <v/>
      </c>
    </row>
    <row r="797">
      <c r="A797" s="5" t="n"/>
      <c r="G797" s="6" t="n"/>
      <c r="H797" s="6" t="n"/>
      <c r="J797" s="6" t="n"/>
      <c r="K797" s="6" t="n"/>
      <c r="L797" s="7">
        <f>IF(OR(G797="",J797="",I797=""),"",ABS(G797-J797)*I797)</f>
        <v/>
      </c>
      <c r="M797" s="7">
        <f>IF(OR(G797="",H797="",I797="",F797=""),"",IF(F797="Long",(H797-G797)*I797,(G797-H797)*I797))</f>
        <v/>
      </c>
      <c r="N797" s="6">
        <f>IF(OR(M797="",L797="",L797=0),"",M797/L797)</f>
        <v/>
      </c>
      <c r="O797">
        <f>IF(M797="","",IF(M797&gt;0,"Win",IF(M797&lt;0,"Loss","Scratch")))</f>
        <v/>
      </c>
    </row>
    <row r="798">
      <c r="A798" s="5" t="n"/>
      <c r="G798" s="6" t="n"/>
      <c r="H798" s="6" t="n"/>
      <c r="J798" s="6" t="n"/>
      <c r="K798" s="6" t="n"/>
      <c r="L798" s="7">
        <f>IF(OR(G798="",J798="",I798=""),"",ABS(G798-J798)*I798)</f>
        <v/>
      </c>
      <c r="M798" s="7">
        <f>IF(OR(G798="",H798="",I798="",F798=""),"",IF(F798="Long",(H798-G798)*I798,(G798-H798)*I798))</f>
        <v/>
      </c>
      <c r="N798" s="6">
        <f>IF(OR(M798="",L798="",L798=0),"",M798/L798)</f>
        <v/>
      </c>
      <c r="O798">
        <f>IF(M798="","",IF(M798&gt;0,"Win",IF(M798&lt;0,"Loss","Scratch")))</f>
        <v/>
      </c>
    </row>
    <row r="799">
      <c r="A799" s="5" t="n"/>
      <c r="G799" s="6" t="n"/>
      <c r="H799" s="6" t="n"/>
      <c r="J799" s="6" t="n"/>
      <c r="K799" s="6" t="n"/>
      <c r="L799" s="7">
        <f>IF(OR(G799="",J799="",I799=""),"",ABS(G799-J799)*I799)</f>
        <v/>
      </c>
      <c r="M799" s="7">
        <f>IF(OR(G799="",H799="",I799="",F799=""),"",IF(F799="Long",(H799-G799)*I799,(G799-H799)*I799))</f>
        <v/>
      </c>
      <c r="N799" s="6">
        <f>IF(OR(M799="",L799="",L799=0),"",M799/L799)</f>
        <v/>
      </c>
      <c r="O799">
        <f>IF(M799="","",IF(M799&gt;0,"Win",IF(M799&lt;0,"Loss","Scratch")))</f>
        <v/>
      </c>
    </row>
    <row r="800">
      <c r="A800" s="5" t="n"/>
      <c r="G800" s="6" t="n"/>
      <c r="H800" s="6" t="n"/>
      <c r="J800" s="6" t="n"/>
      <c r="K800" s="6" t="n"/>
      <c r="L800" s="7">
        <f>IF(OR(G800="",J800="",I800=""),"",ABS(G800-J800)*I800)</f>
        <v/>
      </c>
      <c r="M800" s="7">
        <f>IF(OR(G800="",H800="",I800="",F800=""),"",IF(F800="Long",(H800-G800)*I800,(G800-H800)*I800))</f>
        <v/>
      </c>
      <c r="N800" s="6">
        <f>IF(OR(M800="",L800="",L800=0),"",M800/L800)</f>
        <v/>
      </c>
      <c r="O800">
        <f>IF(M800="","",IF(M800&gt;0,"Win",IF(M800&lt;0,"Loss","Scratch")))</f>
        <v/>
      </c>
    </row>
    <row r="801">
      <c r="A801" s="5" t="n"/>
      <c r="G801" s="6" t="n"/>
      <c r="H801" s="6" t="n"/>
      <c r="J801" s="6" t="n"/>
      <c r="K801" s="6" t="n"/>
      <c r="L801" s="7">
        <f>IF(OR(G801="",J801="",I801=""),"",ABS(G801-J801)*I801)</f>
        <v/>
      </c>
      <c r="M801" s="7">
        <f>IF(OR(G801="",H801="",I801="",F801=""),"",IF(F801="Long",(H801-G801)*I801,(G801-H801)*I801))</f>
        <v/>
      </c>
      <c r="N801" s="6">
        <f>IF(OR(M801="",L801="",L801=0),"",M801/L801)</f>
        <v/>
      </c>
      <c r="O801">
        <f>IF(M801="","",IF(M801&gt;0,"Win",IF(M801&lt;0,"Loss","Scratch")))</f>
        <v/>
      </c>
    </row>
    <row r="802">
      <c r="A802" s="5" t="n"/>
      <c r="G802" s="6" t="n"/>
      <c r="H802" s="6" t="n"/>
      <c r="J802" s="6" t="n"/>
      <c r="K802" s="6" t="n"/>
      <c r="L802" s="7">
        <f>IF(OR(G802="",J802="",I802=""),"",ABS(G802-J802)*I802)</f>
        <v/>
      </c>
      <c r="M802" s="7">
        <f>IF(OR(G802="",H802="",I802="",F802=""),"",IF(F802="Long",(H802-G802)*I802,(G802-H802)*I802))</f>
        <v/>
      </c>
      <c r="N802" s="6">
        <f>IF(OR(M802="",L802="",L802=0),"",M802/L802)</f>
        <v/>
      </c>
      <c r="O802">
        <f>IF(M802="","",IF(M802&gt;0,"Win",IF(M802&lt;0,"Loss","Scratch")))</f>
        <v/>
      </c>
    </row>
    <row r="803">
      <c r="A803" s="5" t="n"/>
      <c r="G803" s="6" t="n"/>
      <c r="H803" s="6" t="n"/>
      <c r="J803" s="6" t="n"/>
      <c r="K803" s="6" t="n"/>
      <c r="L803" s="7">
        <f>IF(OR(G803="",J803="",I803=""),"",ABS(G803-J803)*I803)</f>
        <v/>
      </c>
      <c r="M803" s="7">
        <f>IF(OR(G803="",H803="",I803="",F803=""),"",IF(F803="Long",(H803-G803)*I803,(G803-H803)*I803))</f>
        <v/>
      </c>
      <c r="N803" s="6">
        <f>IF(OR(M803="",L803="",L803=0),"",M803/L803)</f>
        <v/>
      </c>
      <c r="O803">
        <f>IF(M803="","",IF(M803&gt;0,"Win",IF(M803&lt;0,"Loss","Scratch")))</f>
        <v/>
      </c>
    </row>
    <row r="804">
      <c r="A804" s="5" t="n"/>
      <c r="G804" s="6" t="n"/>
      <c r="H804" s="6" t="n"/>
      <c r="J804" s="6" t="n"/>
      <c r="K804" s="6" t="n"/>
      <c r="L804" s="7">
        <f>IF(OR(G804="",J804="",I804=""),"",ABS(G804-J804)*I804)</f>
        <v/>
      </c>
      <c r="M804" s="7">
        <f>IF(OR(G804="",H804="",I804="",F804=""),"",IF(F804="Long",(H804-G804)*I804,(G804-H804)*I804))</f>
        <v/>
      </c>
      <c r="N804" s="6">
        <f>IF(OR(M804="",L804="",L804=0),"",M804/L804)</f>
        <v/>
      </c>
      <c r="O804">
        <f>IF(M804="","",IF(M804&gt;0,"Win",IF(M804&lt;0,"Loss","Scratch")))</f>
        <v/>
      </c>
    </row>
    <row r="805">
      <c r="A805" s="5" t="n"/>
      <c r="G805" s="6" t="n"/>
      <c r="H805" s="6" t="n"/>
      <c r="J805" s="6" t="n"/>
      <c r="K805" s="6" t="n"/>
      <c r="L805" s="7">
        <f>IF(OR(G805="",J805="",I805=""),"",ABS(G805-J805)*I805)</f>
        <v/>
      </c>
      <c r="M805" s="7">
        <f>IF(OR(G805="",H805="",I805="",F805=""),"",IF(F805="Long",(H805-G805)*I805,(G805-H805)*I805))</f>
        <v/>
      </c>
      <c r="N805" s="6">
        <f>IF(OR(M805="",L805="",L805=0),"",M805/L805)</f>
        <v/>
      </c>
      <c r="O805">
        <f>IF(M805="","",IF(M805&gt;0,"Win",IF(M805&lt;0,"Loss","Scratch")))</f>
        <v/>
      </c>
    </row>
    <row r="806">
      <c r="A806" s="5" t="n"/>
      <c r="G806" s="6" t="n"/>
      <c r="H806" s="6" t="n"/>
      <c r="J806" s="6" t="n"/>
      <c r="K806" s="6" t="n"/>
      <c r="L806" s="7">
        <f>IF(OR(G806="",J806="",I806=""),"",ABS(G806-J806)*I806)</f>
        <v/>
      </c>
      <c r="M806" s="7">
        <f>IF(OR(G806="",H806="",I806="",F806=""),"",IF(F806="Long",(H806-G806)*I806,(G806-H806)*I806))</f>
        <v/>
      </c>
      <c r="N806" s="6">
        <f>IF(OR(M806="",L806="",L806=0),"",M806/L806)</f>
        <v/>
      </c>
      <c r="O806">
        <f>IF(M806="","",IF(M806&gt;0,"Win",IF(M806&lt;0,"Loss","Scratch")))</f>
        <v/>
      </c>
    </row>
    <row r="807">
      <c r="A807" s="5" t="n"/>
      <c r="G807" s="6" t="n"/>
      <c r="H807" s="6" t="n"/>
      <c r="J807" s="6" t="n"/>
      <c r="K807" s="6" t="n"/>
      <c r="L807" s="7">
        <f>IF(OR(G807="",J807="",I807=""),"",ABS(G807-J807)*I807)</f>
        <v/>
      </c>
      <c r="M807" s="7">
        <f>IF(OR(G807="",H807="",I807="",F807=""),"",IF(F807="Long",(H807-G807)*I807,(G807-H807)*I807))</f>
        <v/>
      </c>
      <c r="N807" s="6">
        <f>IF(OR(M807="",L807="",L807=0),"",M807/L807)</f>
        <v/>
      </c>
      <c r="O807">
        <f>IF(M807="","",IF(M807&gt;0,"Win",IF(M807&lt;0,"Loss","Scratch")))</f>
        <v/>
      </c>
    </row>
    <row r="808">
      <c r="A808" s="5" t="n"/>
      <c r="G808" s="6" t="n"/>
      <c r="H808" s="6" t="n"/>
      <c r="J808" s="6" t="n"/>
      <c r="K808" s="6" t="n"/>
      <c r="L808" s="7">
        <f>IF(OR(G808="",J808="",I808=""),"",ABS(G808-J808)*I808)</f>
        <v/>
      </c>
      <c r="M808" s="7">
        <f>IF(OR(G808="",H808="",I808="",F808=""),"",IF(F808="Long",(H808-G808)*I808,(G808-H808)*I808))</f>
        <v/>
      </c>
      <c r="N808" s="6">
        <f>IF(OR(M808="",L808="",L808=0),"",M808/L808)</f>
        <v/>
      </c>
      <c r="O808">
        <f>IF(M808="","",IF(M808&gt;0,"Win",IF(M808&lt;0,"Loss","Scratch")))</f>
        <v/>
      </c>
    </row>
    <row r="809">
      <c r="A809" s="5" t="n"/>
      <c r="G809" s="6" t="n"/>
      <c r="H809" s="6" t="n"/>
      <c r="J809" s="6" t="n"/>
      <c r="K809" s="6" t="n"/>
      <c r="L809" s="7">
        <f>IF(OR(G809="",J809="",I809=""),"",ABS(G809-J809)*I809)</f>
        <v/>
      </c>
      <c r="M809" s="7">
        <f>IF(OR(G809="",H809="",I809="",F809=""),"",IF(F809="Long",(H809-G809)*I809,(G809-H809)*I809))</f>
        <v/>
      </c>
      <c r="N809" s="6">
        <f>IF(OR(M809="",L809="",L809=0),"",M809/L809)</f>
        <v/>
      </c>
      <c r="O809">
        <f>IF(M809="","",IF(M809&gt;0,"Win",IF(M809&lt;0,"Loss","Scratch")))</f>
        <v/>
      </c>
    </row>
    <row r="810">
      <c r="A810" s="5" t="n"/>
      <c r="G810" s="6" t="n"/>
      <c r="H810" s="6" t="n"/>
      <c r="J810" s="6" t="n"/>
      <c r="K810" s="6" t="n"/>
      <c r="L810" s="7">
        <f>IF(OR(G810="",J810="",I810=""),"",ABS(G810-J810)*I810)</f>
        <v/>
      </c>
      <c r="M810" s="7">
        <f>IF(OR(G810="",H810="",I810="",F810=""),"",IF(F810="Long",(H810-G810)*I810,(G810-H810)*I810))</f>
        <v/>
      </c>
      <c r="N810" s="6">
        <f>IF(OR(M810="",L810="",L810=0),"",M810/L810)</f>
        <v/>
      </c>
      <c r="O810">
        <f>IF(M810="","",IF(M810&gt;0,"Win",IF(M810&lt;0,"Loss","Scratch")))</f>
        <v/>
      </c>
    </row>
    <row r="811">
      <c r="A811" s="5" t="n"/>
      <c r="G811" s="6" t="n"/>
      <c r="H811" s="6" t="n"/>
      <c r="J811" s="6" t="n"/>
      <c r="K811" s="6" t="n"/>
      <c r="L811" s="7">
        <f>IF(OR(G811="",J811="",I811=""),"",ABS(G811-J811)*I811)</f>
        <v/>
      </c>
      <c r="M811" s="7">
        <f>IF(OR(G811="",H811="",I811="",F811=""),"",IF(F811="Long",(H811-G811)*I811,(G811-H811)*I811))</f>
        <v/>
      </c>
      <c r="N811" s="6">
        <f>IF(OR(M811="",L811="",L811=0),"",M811/L811)</f>
        <v/>
      </c>
      <c r="O811">
        <f>IF(M811="","",IF(M811&gt;0,"Win",IF(M811&lt;0,"Loss","Scratch")))</f>
        <v/>
      </c>
    </row>
    <row r="812">
      <c r="A812" s="5" t="n"/>
      <c r="G812" s="6" t="n"/>
      <c r="H812" s="6" t="n"/>
      <c r="J812" s="6" t="n"/>
      <c r="K812" s="6" t="n"/>
      <c r="L812" s="7">
        <f>IF(OR(G812="",J812="",I812=""),"",ABS(G812-J812)*I812)</f>
        <v/>
      </c>
      <c r="M812" s="7">
        <f>IF(OR(G812="",H812="",I812="",F812=""),"",IF(F812="Long",(H812-G812)*I812,(G812-H812)*I812))</f>
        <v/>
      </c>
      <c r="N812" s="6">
        <f>IF(OR(M812="",L812="",L812=0),"",M812/L812)</f>
        <v/>
      </c>
      <c r="O812">
        <f>IF(M812="","",IF(M812&gt;0,"Win",IF(M812&lt;0,"Loss","Scratch")))</f>
        <v/>
      </c>
    </row>
    <row r="813">
      <c r="A813" s="5" t="n"/>
      <c r="G813" s="6" t="n"/>
      <c r="H813" s="6" t="n"/>
      <c r="J813" s="6" t="n"/>
      <c r="K813" s="6" t="n"/>
      <c r="L813" s="7">
        <f>IF(OR(G813="",J813="",I813=""),"",ABS(G813-J813)*I813)</f>
        <v/>
      </c>
      <c r="M813" s="7">
        <f>IF(OR(G813="",H813="",I813="",F813=""),"",IF(F813="Long",(H813-G813)*I813,(G813-H813)*I813))</f>
        <v/>
      </c>
      <c r="N813" s="6">
        <f>IF(OR(M813="",L813="",L813=0),"",M813/L813)</f>
        <v/>
      </c>
      <c r="O813">
        <f>IF(M813="","",IF(M813&gt;0,"Win",IF(M813&lt;0,"Loss","Scratch")))</f>
        <v/>
      </c>
    </row>
    <row r="814">
      <c r="A814" s="5" t="n"/>
      <c r="G814" s="6" t="n"/>
      <c r="H814" s="6" t="n"/>
      <c r="J814" s="6" t="n"/>
      <c r="K814" s="6" t="n"/>
      <c r="L814" s="7">
        <f>IF(OR(G814="",J814="",I814=""),"",ABS(G814-J814)*I814)</f>
        <v/>
      </c>
      <c r="M814" s="7">
        <f>IF(OR(G814="",H814="",I814="",F814=""),"",IF(F814="Long",(H814-G814)*I814,(G814-H814)*I814))</f>
        <v/>
      </c>
      <c r="N814" s="6">
        <f>IF(OR(M814="",L814="",L814=0),"",M814/L814)</f>
        <v/>
      </c>
      <c r="O814">
        <f>IF(M814="","",IF(M814&gt;0,"Win",IF(M814&lt;0,"Loss","Scratch")))</f>
        <v/>
      </c>
    </row>
    <row r="815">
      <c r="A815" s="5" t="n"/>
      <c r="G815" s="6" t="n"/>
      <c r="H815" s="6" t="n"/>
      <c r="J815" s="6" t="n"/>
      <c r="K815" s="6" t="n"/>
      <c r="L815" s="7">
        <f>IF(OR(G815="",J815="",I815=""),"",ABS(G815-J815)*I815)</f>
        <v/>
      </c>
      <c r="M815" s="7">
        <f>IF(OR(G815="",H815="",I815="",F815=""),"",IF(F815="Long",(H815-G815)*I815,(G815-H815)*I815))</f>
        <v/>
      </c>
      <c r="N815" s="6">
        <f>IF(OR(M815="",L815="",L815=0),"",M815/L815)</f>
        <v/>
      </c>
      <c r="O815">
        <f>IF(M815="","",IF(M815&gt;0,"Win",IF(M815&lt;0,"Loss","Scratch")))</f>
        <v/>
      </c>
    </row>
    <row r="816">
      <c r="A816" s="5" t="n"/>
      <c r="G816" s="6" t="n"/>
      <c r="H816" s="6" t="n"/>
      <c r="J816" s="6" t="n"/>
      <c r="K816" s="6" t="n"/>
      <c r="L816" s="7">
        <f>IF(OR(G816="",J816="",I816=""),"",ABS(G816-J816)*I816)</f>
        <v/>
      </c>
      <c r="M816" s="7">
        <f>IF(OR(G816="",H816="",I816="",F816=""),"",IF(F816="Long",(H816-G816)*I816,(G816-H816)*I816))</f>
        <v/>
      </c>
      <c r="N816" s="6">
        <f>IF(OR(M816="",L816="",L816=0),"",M816/L816)</f>
        <v/>
      </c>
      <c r="O816">
        <f>IF(M816="","",IF(M816&gt;0,"Win",IF(M816&lt;0,"Loss","Scratch")))</f>
        <v/>
      </c>
    </row>
    <row r="817">
      <c r="A817" s="5" t="n"/>
      <c r="G817" s="6" t="n"/>
      <c r="H817" s="6" t="n"/>
      <c r="J817" s="6" t="n"/>
      <c r="K817" s="6" t="n"/>
      <c r="L817" s="7">
        <f>IF(OR(G817="",J817="",I817=""),"",ABS(G817-J817)*I817)</f>
        <v/>
      </c>
      <c r="M817" s="7">
        <f>IF(OR(G817="",H817="",I817="",F817=""),"",IF(F817="Long",(H817-G817)*I817,(G817-H817)*I817))</f>
        <v/>
      </c>
      <c r="N817" s="6">
        <f>IF(OR(M817="",L817="",L817=0),"",M817/L817)</f>
        <v/>
      </c>
      <c r="O817">
        <f>IF(M817="","",IF(M817&gt;0,"Win",IF(M817&lt;0,"Loss","Scratch")))</f>
        <v/>
      </c>
    </row>
    <row r="818">
      <c r="A818" s="5" t="n"/>
      <c r="G818" s="6" t="n"/>
      <c r="H818" s="6" t="n"/>
      <c r="J818" s="6" t="n"/>
      <c r="K818" s="6" t="n"/>
      <c r="L818" s="7">
        <f>IF(OR(G818="",J818="",I818=""),"",ABS(G818-J818)*I818)</f>
        <v/>
      </c>
      <c r="M818" s="7">
        <f>IF(OR(G818="",H818="",I818="",F818=""),"",IF(F818="Long",(H818-G818)*I818,(G818-H818)*I818))</f>
        <v/>
      </c>
      <c r="N818" s="6">
        <f>IF(OR(M818="",L818="",L818=0),"",M818/L818)</f>
        <v/>
      </c>
      <c r="O818">
        <f>IF(M818="","",IF(M818&gt;0,"Win",IF(M818&lt;0,"Loss","Scratch")))</f>
        <v/>
      </c>
    </row>
    <row r="819">
      <c r="A819" s="5" t="n"/>
      <c r="G819" s="6" t="n"/>
      <c r="H819" s="6" t="n"/>
      <c r="J819" s="6" t="n"/>
      <c r="K819" s="6" t="n"/>
      <c r="L819" s="7">
        <f>IF(OR(G819="",J819="",I819=""),"",ABS(G819-J819)*I819)</f>
        <v/>
      </c>
      <c r="M819" s="7">
        <f>IF(OR(G819="",H819="",I819="",F819=""),"",IF(F819="Long",(H819-G819)*I819,(G819-H819)*I819))</f>
        <v/>
      </c>
      <c r="N819" s="6">
        <f>IF(OR(M819="",L819="",L819=0),"",M819/L819)</f>
        <v/>
      </c>
      <c r="O819">
        <f>IF(M819="","",IF(M819&gt;0,"Win",IF(M819&lt;0,"Loss","Scratch")))</f>
        <v/>
      </c>
    </row>
    <row r="820">
      <c r="A820" s="5" t="n"/>
      <c r="G820" s="6" t="n"/>
      <c r="H820" s="6" t="n"/>
      <c r="J820" s="6" t="n"/>
      <c r="K820" s="6" t="n"/>
      <c r="L820" s="7">
        <f>IF(OR(G820="",J820="",I820=""),"",ABS(G820-J820)*I820)</f>
        <v/>
      </c>
      <c r="M820" s="7">
        <f>IF(OR(G820="",H820="",I820="",F820=""),"",IF(F820="Long",(H820-G820)*I820,(G820-H820)*I820))</f>
        <v/>
      </c>
      <c r="N820" s="6">
        <f>IF(OR(M820="",L820="",L820=0),"",M820/L820)</f>
        <v/>
      </c>
      <c r="O820">
        <f>IF(M820="","",IF(M820&gt;0,"Win",IF(M820&lt;0,"Loss","Scratch")))</f>
        <v/>
      </c>
    </row>
    <row r="821">
      <c r="A821" s="5" t="n"/>
      <c r="G821" s="6" t="n"/>
      <c r="H821" s="6" t="n"/>
      <c r="J821" s="6" t="n"/>
      <c r="K821" s="6" t="n"/>
      <c r="L821" s="7">
        <f>IF(OR(G821="",J821="",I821=""),"",ABS(G821-J821)*I821)</f>
        <v/>
      </c>
      <c r="M821" s="7">
        <f>IF(OR(G821="",H821="",I821="",F821=""),"",IF(F821="Long",(H821-G821)*I821,(G821-H821)*I821))</f>
        <v/>
      </c>
      <c r="N821" s="6">
        <f>IF(OR(M821="",L821="",L821=0),"",M821/L821)</f>
        <v/>
      </c>
      <c r="O821">
        <f>IF(M821="","",IF(M821&gt;0,"Win",IF(M821&lt;0,"Loss","Scratch")))</f>
        <v/>
      </c>
    </row>
    <row r="822">
      <c r="A822" s="5" t="n"/>
      <c r="G822" s="6" t="n"/>
      <c r="H822" s="6" t="n"/>
      <c r="J822" s="6" t="n"/>
      <c r="K822" s="6" t="n"/>
      <c r="L822" s="7">
        <f>IF(OR(G822="",J822="",I822=""),"",ABS(G822-J822)*I822)</f>
        <v/>
      </c>
      <c r="M822" s="7">
        <f>IF(OR(G822="",H822="",I822="",F822=""),"",IF(F822="Long",(H822-G822)*I822,(G822-H822)*I822))</f>
        <v/>
      </c>
      <c r="N822" s="6">
        <f>IF(OR(M822="",L822="",L822=0),"",M822/L822)</f>
        <v/>
      </c>
      <c r="O822">
        <f>IF(M822="","",IF(M822&gt;0,"Win",IF(M822&lt;0,"Loss","Scratch")))</f>
        <v/>
      </c>
    </row>
    <row r="823">
      <c r="A823" s="5" t="n"/>
      <c r="G823" s="6" t="n"/>
      <c r="H823" s="6" t="n"/>
      <c r="J823" s="6" t="n"/>
      <c r="K823" s="6" t="n"/>
      <c r="L823" s="7">
        <f>IF(OR(G823="",J823="",I823=""),"",ABS(G823-J823)*I823)</f>
        <v/>
      </c>
      <c r="M823" s="7">
        <f>IF(OR(G823="",H823="",I823="",F823=""),"",IF(F823="Long",(H823-G823)*I823,(G823-H823)*I823))</f>
        <v/>
      </c>
      <c r="N823" s="6">
        <f>IF(OR(M823="",L823="",L823=0),"",M823/L823)</f>
        <v/>
      </c>
      <c r="O823">
        <f>IF(M823="","",IF(M823&gt;0,"Win",IF(M823&lt;0,"Loss","Scratch")))</f>
        <v/>
      </c>
    </row>
    <row r="824">
      <c r="A824" s="5" t="n"/>
      <c r="G824" s="6" t="n"/>
      <c r="H824" s="6" t="n"/>
      <c r="J824" s="6" t="n"/>
      <c r="K824" s="6" t="n"/>
      <c r="L824" s="7">
        <f>IF(OR(G824="",J824="",I824=""),"",ABS(G824-J824)*I824)</f>
        <v/>
      </c>
      <c r="M824" s="7">
        <f>IF(OR(G824="",H824="",I824="",F824=""),"",IF(F824="Long",(H824-G824)*I824,(G824-H824)*I824))</f>
        <v/>
      </c>
      <c r="N824" s="6">
        <f>IF(OR(M824="",L824="",L824=0),"",M824/L824)</f>
        <v/>
      </c>
      <c r="O824">
        <f>IF(M824="","",IF(M824&gt;0,"Win",IF(M824&lt;0,"Loss","Scratch")))</f>
        <v/>
      </c>
    </row>
    <row r="825">
      <c r="A825" s="5" t="n"/>
      <c r="G825" s="6" t="n"/>
      <c r="H825" s="6" t="n"/>
      <c r="J825" s="6" t="n"/>
      <c r="K825" s="6" t="n"/>
      <c r="L825" s="7">
        <f>IF(OR(G825="",J825="",I825=""),"",ABS(G825-J825)*I825)</f>
        <v/>
      </c>
      <c r="M825" s="7">
        <f>IF(OR(G825="",H825="",I825="",F825=""),"",IF(F825="Long",(H825-G825)*I825,(G825-H825)*I825))</f>
        <v/>
      </c>
      <c r="N825" s="6">
        <f>IF(OR(M825="",L825="",L825=0),"",M825/L825)</f>
        <v/>
      </c>
      <c r="O825">
        <f>IF(M825="","",IF(M825&gt;0,"Win",IF(M825&lt;0,"Loss","Scratch")))</f>
        <v/>
      </c>
    </row>
    <row r="826">
      <c r="A826" s="5" t="n"/>
      <c r="G826" s="6" t="n"/>
      <c r="H826" s="6" t="n"/>
      <c r="J826" s="6" t="n"/>
      <c r="K826" s="6" t="n"/>
      <c r="L826" s="7">
        <f>IF(OR(G826="",J826="",I826=""),"",ABS(G826-J826)*I826)</f>
        <v/>
      </c>
      <c r="M826" s="7">
        <f>IF(OR(G826="",H826="",I826="",F826=""),"",IF(F826="Long",(H826-G826)*I826,(G826-H826)*I826))</f>
        <v/>
      </c>
      <c r="N826" s="6">
        <f>IF(OR(M826="",L826="",L826=0),"",M826/L826)</f>
        <v/>
      </c>
      <c r="O826">
        <f>IF(M826="","",IF(M826&gt;0,"Win",IF(M826&lt;0,"Loss","Scratch")))</f>
        <v/>
      </c>
    </row>
    <row r="827">
      <c r="A827" s="5" t="n"/>
      <c r="G827" s="6" t="n"/>
      <c r="H827" s="6" t="n"/>
      <c r="J827" s="6" t="n"/>
      <c r="K827" s="6" t="n"/>
      <c r="L827" s="7">
        <f>IF(OR(G827="",J827="",I827=""),"",ABS(G827-J827)*I827)</f>
        <v/>
      </c>
      <c r="M827" s="7">
        <f>IF(OR(G827="",H827="",I827="",F827=""),"",IF(F827="Long",(H827-G827)*I827,(G827-H827)*I827))</f>
        <v/>
      </c>
      <c r="N827" s="6">
        <f>IF(OR(M827="",L827="",L827=0),"",M827/L827)</f>
        <v/>
      </c>
      <c r="O827">
        <f>IF(M827="","",IF(M827&gt;0,"Win",IF(M827&lt;0,"Loss","Scratch")))</f>
        <v/>
      </c>
    </row>
    <row r="828">
      <c r="A828" s="5" t="n"/>
      <c r="G828" s="6" t="n"/>
      <c r="H828" s="6" t="n"/>
      <c r="J828" s="6" t="n"/>
      <c r="K828" s="6" t="n"/>
      <c r="L828" s="7">
        <f>IF(OR(G828="",J828="",I828=""),"",ABS(G828-J828)*I828)</f>
        <v/>
      </c>
      <c r="M828" s="7">
        <f>IF(OR(G828="",H828="",I828="",F828=""),"",IF(F828="Long",(H828-G828)*I828,(G828-H828)*I828))</f>
        <v/>
      </c>
      <c r="N828" s="6">
        <f>IF(OR(M828="",L828="",L828=0),"",M828/L828)</f>
        <v/>
      </c>
      <c r="O828">
        <f>IF(M828="","",IF(M828&gt;0,"Win",IF(M828&lt;0,"Loss","Scratch")))</f>
        <v/>
      </c>
    </row>
    <row r="829">
      <c r="A829" s="5" t="n"/>
      <c r="G829" s="6" t="n"/>
      <c r="H829" s="6" t="n"/>
      <c r="J829" s="6" t="n"/>
      <c r="K829" s="6" t="n"/>
      <c r="L829" s="7">
        <f>IF(OR(G829="",J829="",I829=""),"",ABS(G829-J829)*I829)</f>
        <v/>
      </c>
      <c r="M829" s="7">
        <f>IF(OR(G829="",H829="",I829="",F829=""),"",IF(F829="Long",(H829-G829)*I829,(G829-H829)*I829))</f>
        <v/>
      </c>
      <c r="N829" s="6">
        <f>IF(OR(M829="",L829="",L829=0),"",M829/L829)</f>
        <v/>
      </c>
      <c r="O829">
        <f>IF(M829="","",IF(M829&gt;0,"Win",IF(M829&lt;0,"Loss","Scratch")))</f>
        <v/>
      </c>
    </row>
    <row r="830">
      <c r="A830" s="5" t="n"/>
      <c r="G830" s="6" t="n"/>
      <c r="H830" s="6" t="n"/>
      <c r="J830" s="6" t="n"/>
      <c r="K830" s="6" t="n"/>
      <c r="L830" s="7">
        <f>IF(OR(G830="",J830="",I830=""),"",ABS(G830-J830)*I830)</f>
        <v/>
      </c>
      <c r="M830" s="7">
        <f>IF(OR(G830="",H830="",I830="",F830=""),"",IF(F830="Long",(H830-G830)*I830,(G830-H830)*I830))</f>
        <v/>
      </c>
      <c r="N830" s="6">
        <f>IF(OR(M830="",L830="",L830=0),"",M830/L830)</f>
        <v/>
      </c>
      <c r="O830">
        <f>IF(M830="","",IF(M830&gt;0,"Win",IF(M830&lt;0,"Loss","Scratch")))</f>
        <v/>
      </c>
    </row>
    <row r="831">
      <c r="A831" s="5" t="n"/>
      <c r="G831" s="6" t="n"/>
      <c r="H831" s="6" t="n"/>
      <c r="J831" s="6" t="n"/>
      <c r="K831" s="6" t="n"/>
      <c r="L831" s="7">
        <f>IF(OR(G831="",J831="",I831=""),"",ABS(G831-J831)*I831)</f>
        <v/>
      </c>
      <c r="M831" s="7">
        <f>IF(OR(G831="",H831="",I831="",F831=""),"",IF(F831="Long",(H831-G831)*I831,(G831-H831)*I831))</f>
        <v/>
      </c>
      <c r="N831" s="6">
        <f>IF(OR(M831="",L831="",L831=0),"",M831/L831)</f>
        <v/>
      </c>
      <c r="O831">
        <f>IF(M831="","",IF(M831&gt;0,"Win",IF(M831&lt;0,"Loss","Scratch")))</f>
        <v/>
      </c>
    </row>
    <row r="832">
      <c r="A832" s="5" t="n"/>
      <c r="G832" s="6" t="n"/>
      <c r="H832" s="6" t="n"/>
      <c r="J832" s="6" t="n"/>
      <c r="K832" s="6" t="n"/>
      <c r="L832" s="7">
        <f>IF(OR(G832="",J832="",I832=""),"",ABS(G832-J832)*I832)</f>
        <v/>
      </c>
      <c r="M832" s="7">
        <f>IF(OR(G832="",H832="",I832="",F832=""),"",IF(F832="Long",(H832-G832)*I832,(G832-H832)*I832))</f>
        <v/>
      </c>
      <c r="N832" s="6">
        <f>IF(OR(M832="",L832="",L832=0),"",M832/L832)</f>
        <v/>
      </c>
      <c r="O832">
        <f>IF(M832="","",IF(M832&gt;0,"Win",IF(M832&lt;0,"Loss","Scratch")))</f>
        <v/>
      </c>
    </row>
    <row r="833">
      <c r="A833" s="5" t="n"/>
      <c r="G833" s="6" t="n"/>
      <c r="H833" s="6" t="n"/>
      <c r="J833" s="6" t="n"/>
      <c r="K833" s="6" t="n"/>
      <c r="L833" s="7">
        <f>IF(OR(G833="",J833="",I833=""),"",ABS(G833-J833)*I833)</f>
        <v/>
      </c>
      <c r="M833" s="7">
        <f>IF(OR(G833="",H833="",I833="",F833=""),"",IF(F833="Long",(H833-G833)*I833,(G833-H833)*I833))</f>
        <v/>
      </c>
      <c r="N833" s="6">
        <f>IF(OR(M833="",L833="",L833=0),"",M833/L833)</f>
        <v/>
      </c>
      <c r="O833">
        <f>IF(M833="","",IF(M833&gt;0,"Win",IF(M833&lt;0,"Loss","Scratch")))</f>
        <v/>
      </c>
    </row>
    <row r="834">
      <c r="A834" s="5" t="n"/>
      <c r="G834" s="6" t="n"/>
      <c r="H834" s="6" t="n"/>
      <c r="J834" s="6" t="n"/>
      <c r="K834" s="6" t="n"/>
      <c r="L834" s="7">
        <f>IF(OR(G834="",J834="",I834=""),"",ABS(G834-J834)*I834)</f>
        <v/>
      </c>
      <c r="M834" s="7">
        <f>IF(OR(G834="",H834="",I834="",F834=""),"",IF(F834="Long",(H834-G834)*I834,(G834-H834)*I834))</f>
        <v/>
      </c>
      <c r="N834" s="6">
        <f>IF(OR(M834="",L834="",L834=0),"",M834/L834)</f>
        <v/>
      </c>
      <c r="O834">
        <f>IF(M834="","",IF(M834&gt;0,"Win",IF(M834&lt;0,"Loss","Scratch")))</f>
        <v/>
      </c>
    </row>
    <row r="835">
      <c r="A835" s="5" t="n"/>
      <c r="G835" s="6" t="n"/>
      <c r="H835" s="6" t="n"/>
      <c r="J835" s="6" t="n"/>
      <c r="K835" s="6" t="n"/>
      <c r="L835" s="7">
        <f>IF(OR(G835="",J835="",I835=""),"",ABS(G835-J835)*I835)</f>
        <v/>
      </c>
      <c r="M835" s="7">
        <f>IF(OR(G835="",H835="",I835="",F835=""),"",IF(F835="Long",(H835-G835)*I835,(G835-H835)*I835))</f>
        <v/>
      </c>
      <c r="N835" s="6">
        <f>IF(OR(M835="",L835="",L835=0),"",M835/L835)</f>
        <v/>
      </c>
      <c r="O835">
        <f>IF(M835="","",IF(M835&gt;0,"Win",IF(M835&lt;0,"Loss","Scratch")))</f>
        <v/>
      </c>
    </row>
    <row r="836">
      <c r="A836" s="5" t="n"/>
      <c r="G836" s="6" t="n"/>
      <c r="H836" s="6" t="n"/>
      <c r="J836" s="6" t="n"/>
      <c r="K836" s="6" t="n"/>
      <c r="L836" s="7">
        <f>IF(OR(G836="",J836="",I836=""),"",ABS(G836-J836)*I836)</f>
        <v/>
      </c>
      <c r="M836" s="7">
        <f>IF(OR(G836="",H836="",I836="",F836=""),"",IF(F836="Long",(H836-G836)*I836,(G836-H836)*I836))</f>
        <v/>
      </c>
      <c r="N836" s="6">
        <f>IF(OR(M836="",L836="",L836=0),"",M836/L836)</f>
        <v/>
      </c>
      <c r="O836">
        <f>IF(M836="","",IF(M836&gt;0,"Win",IF(M836&lt;0,"Loss","Scratch")))</f>
        <v/>
      </c>
    </row>
    <row r="837">
      <c r="A837" s="5" t="n"/>
      <c r="G837" s="6" t="n"/>
      <c r="H837" s="6" t="n"/>
      <c r="J837" s="6" t="n"/>
      <c r="K837" s="6" t="n"/>
      <c r="L837" s="7">
        <f>IF(OR(G837="",J837="",I837=""),"",ABS(G837-J837)*I837)</f>
        <v/>
      </c>
      <c r="M837" s="7">
        <f>IF(OR(G837="",H837="",I837="",F837=""),"",IF(F837="Long",(H837-G837)*I837,(G837-H837)*I837))</f>
        <v/>
      </c>
      <c r="N837" s="6">
        <f>IF(OR(M837="",L837="",L837=0),"",M837/L837)</f>
        <v/>
      </c>
      <c r="O837">
        <f>IF(M837="","",IF(M837&gt;0,"Win",IF(M837&lt;0,"Loss","Scratch")))</f>
        <v/>
      </c>
    </row>
    <row r="838">
      <c r="A838" s="5" t="n"/>
      <c r="G838" s="6" t="n"/>
      <c r="H838" s="6" t="n"/>
      <c r="J838" s="6" t="n"/>
      <c r="K838" s="6" t="n"/>
      <c r="L838" s="7">
        <f>IF(OR(G838="",J838="",I838=""),"",ABS(G838-J838)*I838)</f>
        <v/>
      </c>
      <c r="M838" s="7">
        <f>IF(OR(G838="",H838="",I838="",F838=""),"",IF(F838="Long",(H838-G838)*I838,(G838-H838)*I838))</f>
        <v/>
      </c>
      <c r="N838" s="6">
        <f>IF(OR(M838="",L838="",L838=0),"",M838/L838)</f>
        <v/>
      </c>
      <c r="O838">
        <f>IF(M838="","",IF(M838&gt;0,"Win",IF(M838&lt;0,"Loss","Scratch")))</f>
        <v/>
      </c>
    </row>
    <row r="839">
      <c r="A839" s="5" t="n"/>
      <c r="G839" s="6" t="n"/>
      <c r="H839" s="6" t="n"/>
      <c r="J839" s="6" t="n"/>
      <c r="K839" s="6" t="n"/>
      <c r="L839" s="7">
        <f>IF(OR(G839="",J839="",I839=""),"",ABS(G839-J839)*I839)</f>
        <v/>
      </c>
      <c r="M839" s="7">
        <f>IF(OR(G839="",H839="",I839="",F839=""),"",IF(F839="Long",(H839-G839)*I839,(G839-H839)*I839))</f>
        <v/>
      </c>
      <c r="N839" s="6">
        <f>IF(OR(M839="",L839="",L839=0),"",M839/L839)</f>
        <v/>
      </c>
      <c r="O839">
        <f>IF(M839="","",IF(M839&gt;0,"Win",IF(M839&lt;0,"Loss","Scratch")))</f>
        <v/>
      </c>
    </row>
    <row r="840">
      <c r="A840" s="5" t="n"/>
      <c r="G840" s="6" t="n"/>
      <c r="H840" s="6" t="n"/>
      <c r="J840" s="6" t="n"/>
      <c r="K840" s="6" t="n"/>
      <c r="L840" s="7">
        <f>IF(OR(G840="",J840="",I840=""),"",ABS(G840-J840)*I840)</f>
        <v/>
      </c>
      <c r="M840" s="7">
        <f>IF(OR(G840="",H840="",I840="",F840=""),"",IF(F840="Long",(H840-G840)*I840,(G840-H840)*I840))</f>
        <v/>
      </c>
      <c r="N840" s="6">
        <f>IF(OR(M840="",L840="",L840=0),"",M840/L840)</f>
        <v/>
      </c>
      <c r="O840">
        <f>IF(M840="","",IF(M840&gt;0,"Win",IF(M840&lt;0,"Loss","Scratch")))</f>
        <v/>
      </c>
    </row>
    <row r="841">
      <c r="A841" s="5" t="n"/>
      <c r="G841" s="6" t="n"/>
      <c r="H841" s="6" t="n"/>
      <c r="J841" s="6" t="n"/>
      <c r="K841" s="6" t="n"/>
      <c r="L841" s="7">
        <f>IF(OR(G841="",J841="",I841=""),"",ABS(G841-J841)*I841)</f>
        <v/>
      </c>
      <c r="M841" s="7">
        <f>IF(OR(G841="",H841="",I841="",F841=""),"",IF(F841="Long",(H841-G841)*I841,(G841-H841)*I841))</f>
        <v/>
      </c>
      <c r="N841" s="6">
        <f>IF(OR(M841="",L841="",L841=0),"",M841/L841)</f>
        <v/>
      </c>
      <c r="O841">
        <f>IF(M841="","",IF(M841&gt;0,"Win",IF(M841&lt;0,"Loss","Scratch")))</f>
        <v/>
      </c>
    </row>
    <row r="842">
      <c r="A842" s="5" t="n"/>
      <c r="G842" s="6" t="n"/>
      <c r="H842" s="6" t="n"/>
      <c r="J842" s="6" t="n"/>
      <c r="K842" s="6" t="n"/>
      <c r="L842" s="7">
        <f>IF(OR(G842="",J842="",I842=""),"",ABS(G842-J842)*I842)</f>
        <v/>
      </c>
      <c r="M842" s="7">
        <f>IF(OR(G842="",H842="",I842="",F842=""),"",IF(F842="Long",(H842-G842)*I842,(G842-H842)*I842))</f>
        <v/>
      </c>
      <c r="N842" s="6">
        <f>IF(OR(M842="",L842="",L842=0),"",M842/L842)</f>
        <v/>
      </c>
      <c r="O842">
        <f>IF(M842="","",IF(M842&gt;0,"Win",IF(M842&lt;0,"Loss","Scratch")))</f>
        <v/>
      </c>
    </row>
    <row r="843">
      <c r="A843" s="5" t="n"/>
      <c r="G843" s="6" t="n"/>
      <c r="H843" s="6" t="n"/>
      <c r="J843" s="6" t="n"/>
      <c r="K843" s="6" t="n"/>
      <c r="L843" s="7">
        <f>IF(OR(G843="",J843="",I843=""),"",ABS(G843-J843)*I843)</f>
        <v/>
      </c>
      <c r="M843" s="7">
        <f>IF(OR(G843="",H843="",I843="",F843=""),"",IF(F843="Long",(H843-G843)*I843,(G843-H843)*I843))</f>
        <v/>
      </c>
      <c r="N843" s="6">
        <f>IF(OR(M843="",L843="",L843=0),"",M843/L843)</f>
        <v/>
      </c>
      <c r="O843">
        <f>IF(M843="","",IF(M843&gt;0,"Win",IF(M843&lt;0,"Loss","Scratch")))</f>
        <v/>
      </c>
    </row>
    <row r="844">
      <c r="A844" s="5" t="n"/>
      <c r="G844" s="6" t="n"/>
      <c r="H844" s="6" t="n"/>
      <c r="J844" s="6" t="n"/>
      <c r="K844" s="6" t="n"/>
      <c r="L844" s="7">
        <f>IF(OR(G844="",J844="",I844=""),"",ABS(G844-J844)*I844)</f>
        <v/>
      </c>
      <c r="M844" s="7">
        <f>IF(OR(G844="",H844="",I844="",F844=""),"",IF(F844="Long",(H844-G844)*I844,(G844-H844)*I844))</f>
        <v/>
      </c>
      <c r="N844" s="6">
        <f>IF(OR(M844="",L844="",L844=0),"",M844/L844)</f>
        <v/>
      </c>
      <c r="O844">
        <f>IF(M844="","",IF(M844&gt;0,"Win",IF(M844&lt;0,"Loss","Scratch")))</f>
        <v/>
      </c>
    </row>
    <row r="845">
      <c r="A845" s="5" t="n"/>
      <c r="G845" s="6" t="n"/>
      <c r="H845" s="6" t="n"/>
      <c r="J845" s="6" t="n"/>
      <c r="K845" s="6" t="n"/>
      <c r="L845" s="7">
        <f>IF(OR(G845="",J845="",I845=""),"",ABS(G845-J845)*I845)</f>
        <v/>
      </c>
      <c r="M845" s="7">
        <f>IF(OR(G845="",H845="",I845="",F845=""),"",IF(F845="Long",(H845-G845)*I845,(G845-H845)*I845))</f>
        <v/>
      </c>
      <c r="N845" s="6">
        <f>IF(OR(M845="",L845="",L845=0),"",M845/L845)</f>
        <v/>
      </c>
      <c r="O845">
        <f>IF(M845="","",IF(M845&gt;0,"Win",IF(M845&lt;0,"Loss","Scratch")))</f>
        <v/>
      </c>
    </row>
    <row r="846">
      <c r="A846" s="5" t="n"/>
      <c r="G846" s="6" t="n"/>
      <c r="H846" s="6" t="n"/>
      <c r="J846" s="6" t="n"/>
      <c r="K846" s="6" t="n"/>
      <c r="L846" s="7">
        <f>IF(OR(G846="",J846="",I846=""),"",ABS(G846-J846)*I846)</f>
        <v/>
      </c>
      <c r="M846" s="7">
        <f>IF(OR(G846="",H846="",I846="",F846=""),"",IF(F846="Long",(H846-G846)*I846,(G846-H846)*I846))</f>
        <v/>
      </c>
      <c r="N846" s="6">
        <f>IF(OR(M846="",L846="",L846=0),"",M846/L846)</f>
        <v/>
      </c>
      <c r="O846">
        <f>IF(M846="","",IF(M846&gt;0,"Win",IF(M846&lt;0,"Loss","Scratch")))</f>
        <v/>
      </c>
    </row>
    <row r="847">
      <c r="A847" s="5" t="n"/>
      <c r="G847" s="6" t="n"/>
      <c r="H847" s="6" t="n"/>
      <c r="J847" s="6" t="n"/>
      <c r="K847" s="6" t="n"/>
      <c r="L847" s="7">
        <f>IF(OR(G847="",J847="",I847=""),"",ABS(G847-J847)*I847)</f>
        <v/>
      </c>
      <c r="M847" s="7">
        <f>IF(OR(G847="",H847="",I847="",F847=""),"",IF(F847="Long",(H847-G847)*I847,(G847-H847)*I847))</f>
        <v/>
      </c>
      <c r="N847" s="6">
        <f>IF(OR(M847="",L847="",L847=0),"",M847/L847)</f>
        <v/>
      </c>
      <c r="O847">
        <f>IF(M847="","",IF(M847&gt;0,"Win",IF(M847&lt;0,"Loss","Scratch")))</f>
        <v/>
      </c>
    </row>
    <row r="848">
      <c r="A848" s="5" t="n"/>
      <c r="G848" s="6" t="n"/>
      <c r="H848" s="6" t="n"/>
      <c r="J848" s="6" t="n"/>
      <c r="K848" s="6" t="n"/>
      <c r="L848" s="7">
        <f>IF(OR(G848="",J848="",I848=""),"",ABS(G848-J848)*I848)</f>
        <v/>
      </c>
      <c r="M848" s="7">
        <f>IF(OR(G848="",H848="",I848="",F848=""),"",IF(F848="Long",(H848-G848)*I848,(G848-H848)*I848))</f>
        <v/>
      </c>
      <c r="N848" s="6">
        <f>IF(OR(M848="",L848="",L848=0),"",M848/L848)</f>
        <v/>
      </c>
      <c r="O848">
        <f>IF(M848="","",IF(M848&gt;0,"Win",IF(M848&lt;0,"Loss","Scratch")))</f>
        <v/>
      </c>
    </row>
    <row r="849">
      <c r="A849" s="5" t="n"/>
      <c r="G849" s="6" t="n"/>
      <c r="H849" s="6" t="n"/>
      <c r="J849" s="6" t="n"/>
      <c r="K849" s="6" t="n"/>
      <c r="L849" s="7">
        <f>IF(OR(G849="",J849="",I849=""),"",ABS(G849-J849)*I849)</f>
        <v/>
      </c>
      <c r="M849" s="7">
        <f>IF(OR(G849="",H849="",I849="",F849=""),"",IF(F849="Long",(H849-G849)*I849,(G849-H849)*I849))</f>
        <v/>
      </c>
      <c r="N849" s="6">
        <f>IF(OR(M849="",L849="",L849=0),"",M849/L849)</f>
        <v/>
      </c>
      <c r="O849">
        <f>IF(M849="","",IF(M849&gt;0,"Win",IF(M849&lt;0,"Loss","Scratch")))</f>
        <v/>
      </c>
    </row>
    <row r="850">
      <c r="A850" s="5" t="n"/>
      <c r="G850" s="6" t="n"/>
      <c r="H850" s="6" t="n"/>
      <c r="J850" s="6" t="n"/>
      <c r="K850" s="6" t="n"/>
      <c r="L850" s="7">
        <f>IF(OR(G850="",J850="",I850=""),"",ABS(G850-J850)*I850)</f>
        <v/>
      </c>
      <c r="M850" s="7">
        <f>IF(OR(G850="",H850="",I850="",F850=""),"",IF(F850="Long",(H850-G850)*I850,(G850-H850)*I850))</f>
        <v/>
      </c>
      <c r="N850" s="6">
        <f>IF(OR(M850="",L850="",L850=0),"",M850/L850)</f>
        <v/>
      </c>
      <c r="O850">
        <f>IF(M850="","",IF(M850&gt;0,"Win",IF(M850&lt;0,"Loss","Scratch")))</f>
        <v/>
      </c>
    </row>
    <row r="851">
      <c r="A851" s="5" t="n"/>
      <c r="G851" s="6" t="n"/>
      <c r="H851" s="6" t="n"/>
      <c r="J851" s="6" t="n"/>
      <c r="K851" s="6" t="n"/>
      <c r="L851" s="7">
        <f>IF(OR(G851="",J851="",I851=""),"",ABS(G851-J851)*I851)</f>
        <v/>
      </c>
      <c r="M851" s="7">
        <f>IF(OR(G851="",H851="",I851="",F851=""),"",IF(F851="Long",(H851-G851)*I851,(G851-H851)*I851))</f>
        <v/>
      </c>
      <c r="N851" s="6">
        <f>IF(OR(M851="",L851="",L851=0),"",M851/L851)</f>
        <v/>
      </c>
      <c r="O851">
        <f>IF(M851="","",IF(M851&gt;0,"Win",IF(M851&lt;0,"Loss","Scratch")))</f>
        <v/>
      </c>
    </row>
    <row r="852">
      <c r="A852" s="5" t="n"/>
      <c r="G852" s="6" t="n"/>
      <c r="H852" s="6" t="n"/>
      <c r="J852" s="6" t="n"/>
      <c r="K852" s="6" t="n"/>
      <c r="L852" s="7">
        <f>IF(OR(G852="",J852="",I852=""),"",ABS(G852-J852)*I852)</f>
        <v/>
      </c>
      <c r="M852" s="7">
        <f>IF(OR(G852="",H852="",I852="",F852=""),"",IF(F852="Long",(H852-G852)*I852,(G852-H852)*I852))</f>
        <v/>
      </c>
      <c r="N852" s="6">
        <f>IF(OR(M852="",L852="",L852=0),"",M852/L852)</f>
        <v/>
      </c>
      <c r="O852">
        <f>IF(M852="","",IF(M852&gt;0,"Win",IF(M852&lt;0,"Loss","Scratch")))</f>
        <v/>
      </c>
    </row>
    <row r="853">
      <c r="A853" s="5" t="n"/>
      <c r="G853" s="6" t="n"/>
      <c r="H853" s="6" t="n"/>
      <c r="J853" s="6" t="n"/>
      <c r="K853" s="6" t="n"/>
      <c r="L853" s="7">
        <f>IF(OR(G853="",J853="",I853=""),"",ABS(G853-J853)*I853)</f>
        <v/>
      </c>
      <c r="M853" s="7">
        <f>IF(OR(G853="",H853="",I853="",F853=""),"",IF(F853="Long",(H853-G853)*I853,(G853-H853)*I853))</f>
        <v/>
      </c>
      <c r="N853" s="6">
        <f>IF(OR(M853="",L853="",L853=0),"",M853/L853)</f>
        <v/>
      </c>
      <c r="O853">
        <f>IF(M853="","",IF(M853&gt;0,"Win",IF(M853&lt;0,"Loss","Scratch")))</f>
        <v/>
      </c>
    </row>
    <row r="854">
      <c r="A854" s="5" t="n"/>
      <c r="G854" s="6" t="n"/>
      <c r="H854" s="6" t="n"/>
      <c r="J854" s="6" t="n"/>
      <c r="K854" s="6" t="n"/>
      <c r="L854" s="7">
        <f>IF(OR(G854="",J854="",I854=""),"",ABS(G854-J854)*I854)</f>
        <v/>
      </c>
      <c r="M854" s="7">
        <f>IF(OR(G854="",H854="",I854="",F854=""),"",IF(F854="Long",(H854-G854)*I854,(G854-H854)*I854))</f>
        <v/>
      </c>
      <c r="N854" s="6">
        <f>IF(OR(M854="",L854="",L854=0),"",M854/L854)</f>
        <v/>
      </c>
      <c r="O854">
        <f>IF(M854="","",IF(M854&gt;0,"Win",IF(M854&lt;0,"Loss","Scratch")))</f>
        <v/>
      </c>
    </row>
    <row r="855">
      <c r="A855" s="5" t="n"/>
      <c r="G855" s="6" t="n"/>
      <c r="H855" s="6" t="n"/>
      <c r="J855" s="6" t="n"/>
      <c r="K855" s="6" t="n"/>
      <c r="L855" s="7">
        <f>IF(OR(G855="",J855="",I855=""),"",ABS(G855-J855)*I855)</f>
        <v/>
      </c>
      <c r="M855" s="7">
        <f>IF(OR(G855="",H855="",I855="",F855=""),"",IF(F855="Long",(H855-G855)*I855,(G855-H855)*I855))</f>
        <v/>
      </c>
      <c r="N855" s="6">
        <f>IF(OR(M855="",L855="",L855=0),"",M855/L855)</f>
        <v/>
      </c>
      <c r="O855">
        <f>IF(M855="","",IF(M855&gt;0,"Win",IF(M855&lt;0,"Loss","Scratch")))</f>
        <v/>
      </c>
    </row>
    <row r="856">
      <c r="A856" s="5" t="n"/>
      <c r="G856" s="6" t="n"/>
      <c r="H856" s="6" t="n"/>
      <c r="J856" s="6" t="n"/>
      <c r="K856" s="6" t="n"/>
      <c r="L856" s="7">
        <f>IF(OR(G856="",J856="",I856=""),"",ABS(G856-J856)*I856)</f>
        <v/>
      </c>
      <c r="M856" s="7">
        <f>IF(OR(G856="",H856="",I856="",F856=""),"",IF(F856="Long",(H856-G856)*I856,(G856-H856)*I856))</f>
        <v/>
      </c>
      <c r="N856" s="6">
        <f>IF(OR(M856="",L856="",L856=0),"",M856/L856)</f>
        <v/>
      </c>
      <c r="O856">
        <f>IF(M856="","",IF(M856&gt;0,"Win",IF(M856&lt;0,"Loss","Scratch")))</f>
        <v/>
      </c>
    </row>
    <row r="857">
      <c r="A857" s="5" t="n"/>
      <c r="G857" s="6" t="n"/>
      <c r="H857" s="6" t="n"/>
      <c r="J857" s="6" t="n"/>
      <c r="K857" s="6" t="n"/>
      <c r="L857" s="7">
        <f>IF(OR(G857="",J857="",I857=""),"",ABS(G857-J857)*I857)</f>
        <v/>
      </c>
      <c r="M857" s="7">
        <f>IF(OR(G857="",H857="",I857="",F857=""),"",IF(F857="Long",(H857-G857)*I857,(G857-H857)*I857))</f>
        <v/>
      </c>
      <c r="N857" s="6">
        <f>IF(OR(M857="",L857="",L857=0),"",M857/L857)</f>
        <v/>
      </c>
      <c r="O857">
        <f>IF(M857="","",IF(M857&gt;0,"Win",IF(M857&lt;0,"Loss","Scratch")))</f>
        <v/>
      </c>
    </row>
    <row r="858">
      <c r="A858" s="5" t="n"/>
      <c r="G858" s="6" t="n"/>
      <c r="H858" s="6" t="n"/>
      <c r="J858" s="6" t="n"/>
      <c r="K858" s="6" t="n"/>
      <c r="L858" s="7">
        <f>IF(OR(G858="",J858="",I858=""),"",ABS(G858-J858)*I858)</f>
        <v/>
      </c>
      <c r="M858" s="7">
        <f>IF(OR(G858="",H858="",I858="",F858=""),"",IF(F858="Long",(H858-G858)*I858,(G858-H858)*I858))</f>
        <v/>
      </c>
      <c r="N858" s="6">
        <f>IF(OR(M858="",L858="",L858=0),"",M858/L858)</f>
        <v/>
      </c>
      <c r="O858">
        <f>IF(M858="","",IF(M858&gt;0,"Win",IF(M858&lt;0,"Loss","Scratch")))</f>
        <v/>
      </c>
    </row>
    <row r="859">
      <c r="A859" s="5" t="n"/>
      <c r="G859" s="6" t="n"/>
      <c r="H859" s="6" t="n"/>
      <c r="J859" s="6" t="n"/>
      <c r="K859" s="6" t="n"/>
      <c r="L859" s="7">
        <f>IF(OR(G859="",J859="",I859=""),"",ABS(G859-J859)*I859)</f>
        <v/>
      </c>
      <c r="M859" s="7">
        <f>IF(OR(G859="",H859="",I859="",F859=""),"",IF(F859="Long",(H859-G859)*I859,(G859-H859)*I859))</f>
        <v/>
      </c>
      <c r="N859" s="6">
        <f>IF(OR(M859="",L859="",L859=0),"",M859/L859)</f>
        <v/>
      </c>
      <c r="O859">
        <f>IF(M859="","",IF(M859&gt;0,"Win",IF(M859&lt;0,"Loss","Scratch")))</f>
        <v/>
      </c>
    </row>
    <row r="860">
      <c r="A860" s="5" t="n"/>
      <c r="G860" s="6" t="n"/>
      <c r="H860" s="6" t="n"/>
      <c r="J860" s="6" t="n"/>
      <c r="K860" s="6" t="n"/>
      <c r="L860" s="7">
        <f>IF(OR(G860="",J860="",I860=""),"",ABS(G860-J860)*I860)</f>
        <v/>
      </c>
      <c r="M860" s="7">
        <f>IF(OR(G860="",H860="",I860="",F860=""),"",IF(F860="Long",(H860-G860)*I860,(G860-H860)*I860))</f>
        <v/>
      </c>
      <c r="N860" s="6">
        <f>IF(OR(M860="",L860="",L860=0),"",M860/L860)</f>
        <v/>
      </c>
      <c r="O860">
        <f>IF(M860="","",IF(M860&gt;0,"Win",IF(M860&lt;0,"Loss","Scratch")))</f>
        <v/>
      </c>
    </row>
    <row r="861">
      <c r="A861" s="5" t="n"/>
      <c r="G861" s="6" t="n"/>
      <c r="H861" s="6" t="n"/>
      <c r="J861" s="6" t="n"/>
      <c r="K861" s="6" t="n"/>
      <c r="L861" s="7">
        <f>IF(OR(G861="",J861="",I861=""),"",ABS(G861-J861)*I861)</f>
        <v/>
      </c>
      <c r="M861" s="7">
        <f>IF(OR(G861="",H861="",I861="",F861=""),"",IF(F861="Long",(H861-G861)*I861,(G861-H861)*I861))</f>
        <v/>
      </c>
      <c r="N861" s="6">
        <f>IF(OR(M861="",L861="",L861=0),"",M861/L861)</f>
        <v/>
      </c>
      <c r="O861">
        <f>IF(M861="","",IF(M861&gt;0,"Win",IF(M861&lt;0,"Loss","Scratch")))</f>
        <v/>
      </c>
    </row>
    <row r="862">
      <c r="A862" s="5" t="n"/>
      <c r="G862" s="6" t="n"/>
      <c r="H862" s="6" t="n"/>
      <c r="J862" s="6" t="n"/>
      <c r="K862" s="6" t="n"/>
      <c r="L862" s="7">
        <f>IF(OR(G862="",J862="",I862=""),"",ABS(G862-J862)*I862)</f>
        <v/>
      </c>
      <c r="M862" s="7">
        <f>IF(OR(G862="",H862="",I862="",F862=""),"",IF(F862="Long",(H862-G862)*I862,(G862-H862)*I862))</f>
        <v/>
      </c>
      <c r="N862" s="6">
        <f>IF(OR(M862="",L862="",L862=0),"",M862/L862)</f>
        <v/>
      </c>
      <c r="O862">
        <f>IF(M862="","",IF(M862&gt;0,"Win",IF(M862&lt;0,"Loss","Scratch")))</f>
        <v/>
      </c>
    </row>
    <row r="863">
      <c r="A863" s="5" t="n"/>
      <c r="G863" s="6" t="n"/>
      <c r="H863" s="6" t="n"/>
      <c r="J863" s="6" t="n"/>
      <c r="K863" s="6" t="n"/>
      <c r="L863" s="7">
        <f>IF(OR(G863="",J863="",I863=""),"",ABS(G863-J863)*I863)</f>
        <v/>
      </c>
      <c r="M863" s="7">
        <f>IF(OR(G863="",H863="",I863="",F863=""),"",IF(F863="Long",(H863-G863)*I863,(G863-H863)*I863))</f>
        <v/>
      </c>
      <c r="N863" s="6">
        <f>IF(OR(M863="",L863="",L863=0),"",M863/L863)</f>
        <v/>
      </c>
      <c r="O863">
        <f>IF(M863="","",IF(M863&gt;0,"Win",IF(M863&lt;0,"Loss","Scratch")))</f>
        <v/>
      </c>
    </row>
    <row r="864">
      <c r="A864" s="5" t="n"/>
      <c r="G864" s="6" t="n"/>
      <c r="H864" s="6" t="n"/>
      <c r="J864" s="6" t="n"/>
      <c r="K864" s="6" t="n"/>
      <c r="L864" s="7">
        <f>IF(OR(G864="",J864="",I864=""),"",ABS(G864-J864)*I864)</f>
        <v/>
      </c>
      <c r="M864" s="7">
        <f>IF(OR(G864="",H864="",I864="",F864=""),"",IF(F864="Long",(H864-G864)*I864,(G864-H864)*I864))</f>
        <v/>
      </c>
      <c r="N864" s="6">
        <f>IF(OR(M864="",L864="",L864=0),"",M864/L864)</f>
        <v/>
      </c>
      <c r="O864">
        <f>IF(M864="","",IF(M864&gt;0,"Win",IF(M864&lt;0,"Loss","Scratch")))</f>
        <v/>
      </c>
    </row>
    <row r="865">
      <c r="A865" s="5" t="n"/>
      <c r="G865" s="6" t="n"/>
      <c r="H865" s="6" t="n"/>
      <c r="J865" s="6" t="n"/>
      <c r="K865" s="6" t="n"/>
      <c r="L865" s="7">
        <f>IF(OR(G865="",J865="",I865=""),"",ABS(G865-J865)*I865)</f>
        <v/>
      </c>
      <c r="M865" s="7">
        <f>IF(OR(G865="",H865="",I865="",F865=""),"",IF(F865="Long",(H865-G865)*I865,(G865-H865)*I865))</f>
        <v/>
      </c>
      <c r="N865" s="6">
        <f>IF(OR(M865="",L865="",L865=0),"",M865/L865)</f>
        <v/>
      </c>
      <c r="O865">
        <f>IF(M865="","",IF(M865&gt;0,"Win",IF(M865&lt;0,"Loss","Scratch")))</f>
        <v/>
      </c>
    </row>
    <row r="866">
      <c r="A866" s="5" t="n"/>
      <c r="G866" s="6" t="n"/>
      <c r="H866" s="6" t="n"/>
      <c r="J866" s="6" t="n"/>
      <c r="K866" s="6" t="n"/>
      <c r="L866" s="7">
        <f>IF(OR(G866="",J866="",I866=""),"",ABS(G866-J866)*I866)</f>
        <v/>
      </c>
      <c r="M866" s="7">
        <f>IF(OR(G866="",H866="",I866="",F866=""),"",IF(F866="Long",(H866-G866)*I866,(G866-H866)*I866))</f>
        <v/>
      </c>
      <c r="N866" s="6">
        <f>IF(OR(M866="",L866="",L866=0),"",M866/L866)</f>
        <v/>
      </c>
      <c r="O866">
        <f>IF(M866="","",IF(M866&gt;0,"Win",IF(M866&lt;0,"Loss","Scratch")))</f>
        <v/>
      </c>
    </row>
    <row r="867">
      <c r="A867" s="5" t="n"/>
      <c r="G867" s="6" t="n"/>
      <c r="H867" s="6" t="n"/>
      <c r="J867" s="6" t="n"/>
      <c r="K867" s="6" t="n"/>
      <c r="L867" s="7">
        <f>IF(OR(G867="",J867="",I867=""),"",ABS(G867-J867)*I867)</f>
        <v/>
      </c>
      <c r="M867" s="7">
        <f>IF(OR(G867="",H867="",I867="",F867=""),"",IF(F867="Long",(H867-G867)*I867,(G867-H867)*I867))</f>
        <v/>
      </c>
      <c r="N867" s="6">
        <f>IF(OR(M867="",L867="",L867=0),"",M867/L867)</f>
        <v/>
      </c>
      <c r="O867">
        <f>IF(M867="","",IF(M867&gt;0,"Win",IF(M867&lt;0,"Loss","Scratch")))</f>
        <v/>
      </c>
    </row>
    <row r="868">
      <c r="A868" s="5" t="n"/>
      <c r="G868" s="6" t="n"/>
      <c r="H868" s="6" t="n"/>
      <c r="J868" s="6" t="n"/>
      <c r="K868" s="6" t="n"/>
      <c r="L868" s="7">
        <f>IF(OR(G868="",J868="",I868=""),"",ABS(G868-J868)*I868)</f>
        <v/>
      </c>
      <c r="M868" s="7">
        <f>IF(OR(G868="",H868="",I868="",F868=""),"",IF(F868="Long",(H868-G868)*I868,(G868-H868)*I868))</f>
        <v/>
      </c>
      <c r="N868" s="6">
        <f>IF(OR(M868="",L868="",L868=0),"",M868/L868)</f>
        <v/>
      </c>
      <c r="O868">
        <f>IF(M868="","",IF(M868&gt;0,"Win",IF(M868&lt;0,"Loss","Scratch")))</f>
        <v/>
      </c>
    </row>
    <row r="869">
      <c r="A869" s="5" t="n"/>
      <c r="G869" s="6" t="n"/>
      <c r="H869" s="6" t="n"/>
      <c r="J869" s="6" t="n"/>
      <c r="K869" s="6" t="n"/>
      <c r="L869" s="7">
        <f>IF(OR(G869="",J869="",I869=""),"",ABS(G869-J869)*I869)</f>
        <v/>
      </c>
      <c r="M869" s="7">
        <f>IF(OR(G869="",H869="",I869="",F869=""),"",IF(F869="Long",(H869-G869)*I869,(G869-H869)*I869))</f>
        <v/>
      </c>
      <c r="N869" s="6">
        <f>IF(OR(M869="",L869="",L869=0),"",M869/L869)</f>
        <v/>
      </c>
      <c r="O869">
        <f>IF(M869="","",IF(M869&gt;0,"Win",IF(M869&lt;0,"Loss","Scratch")))</f>
        <v/>
      </c>
    </row>
    <row r="870">
      <c r="A870" s="5" t="n"/>
      <c r="G870" s="6" t="n"/>
      <c r="H870" s="6" t="n"/>
      <c r="J870" s="6" t="n"/>
      <c r="K870" s="6" t="n"/>
      <c r="L870" s="7">
        <f>IF(OR(G870="",J870="",I870=""),"",ABS(G870-J870)*I870)</f>
        <v/>
      </c>
      <c r="M870" s="7">
        <f>IF(OR(G870="",H870="",I870="",F870=""),"",IF(F870="Long",(H870-G870)*I870,(G870-H870)*I870))</f>
        <v/>
      </c>
      <c r="N870" s="6">
        <f>IF(OR(M870="",L870="",L870=0),"",M870/L870)</f>
        <v/>
      </c>
      <c r="O870">
        <f>IF(M870="","",IF(M870&gt;0,"Win",IF(M870&lt;0,"Loss","Scratch")))</f>
        <v/>
      </c>
    </row>
    <row r="871">
      <c r="A871" s="5" t="n"/>
      <c r="G871" s="6" t="n"/>
      <c r="H871" s="6" t="n"/>
      <c r="J871" s="6" t="n"/>
      <c r="K871" s="6" t="n"/>
      <c r="L871" s="7">
        <f>IF(OR(G871="",J871="",I871=""),"",ABS(G871-J871)*I871)</f>
        <v/>
      </c>
      <c r="M871" s="7">
        <f>IF(OR(G871="",H871="",I871="",F871=""),"",IF(F871="Long",(H871-G871)*I871,(G871-H871)*I871))</f>
        <v/>
      </c>
      <c r="N871" s="6">
        <f>IF(OR(M871="",L871="",L871=0),"",M871/L871)</f>
        <v/>
      </c>
      <c r="O871">
        <f>IF(M871="","",IF(M871&gt;0,"Win",IF(M871&lt;0,"Loss","Scratch")))</f>
        <v/>
      </c>
    </row>
    <row r="872">
      <c r="A872" s="5" t="n"/>
      <c r="G872" s="6" t="n"/>
      <c r="H872" s="6" t="n"/>
      <c r="J872" s="6" t="n"/>
      <c r="K872" s="6" t="n"/>
      <c r="L872" s="7">
        <f>IF(OR(G872="",J872="",I872=""),"",ABS(G872-J872)*I872)</f>
        <v/>
      </c>
      <c r="M872" s="7">
        <f>IF(OR(G872="",H872="",I872="",F872=""),"",IF(F872="Long",(H872-G872)*I872,(G872-H872)*I872))</f>
        <v/>
      </c>
      <c r="N872" s="6">
        <f>IF(OR(M872="",L872="",L872=0),"",M872/L872)</f>
        <v/>
      </c>
      <c r="O872">
        <f>IF(M872="","",IF(M872&gt;0,"Win",IF(M872&lt;0,"Loss","Scratch")))</f>
        <v/>
      </c>
    </row>
    <row r="873">
      <c r="A873" s="5" t="n"/>
      <c r="G873" s="6" t="n"/>
      <c r="H873" s="6" t="n"/>
      <c r="J873" s="6" t="n"/>
      <c r="K873" s="6" t="n"/>
      <c r="L873" s="7">
        <f>IF(OR(G873="",J873="",I873=""),"",ABS(G873-J873)*I873)</f>
        <v/>
      </c>
      <c r="M873" s="7">
        <f>IF(OR(G873="",H873="",I873="",F873=""),"",IF(F873="Long",(H873-G873)*I873,(G873-H873)*I873))</f>
        <v/>
      </c>
      <c r="N873" s="6">
        <f>IF(OR(M873="",L873="",L873=0),"",M873/L873)</f>
        <v/>
      </c>
      <c r="O873">
        <f>IF(M873="","",IF(M873&gt;0,"Win",IF(M873&lt;0,"Loss","Scratch")))</f>
        <v/>
      </c>
    </row>
    <row r="874">
      <c r="A874" s="5" t="n"/>
      <c r="G874" s="6" t="n"/>
      <c r="H874" s="6" t="n"/>
      <c r="J874" s="6" t="n"/>
      <c r="K874" s="6" t="n"/>
      <c r="L874" s="7">
        <f>IF(OR(G874="",J874="",I874=""),"",ABS(G874-J874)*I874)</f>
        <v/>
      </c>
      <c r="M874" s="7">
        <f>IF(OR(G874="",H874="",I874="",F874=""),"",IF(F874="Long",(H874-G874)*I874,(G874-H874)*I874))</f>
        <v/>
      </c>
      <c r="N874" s="6">
        <f>IF(OR(M874="",L874="",L874=0),"",M874/L874)</f>
        <v/>
      </c>
      <c r="O874">
        <f>IF(M874="","",IF(M874&gt;0,"Win",IF(M874&lt;0,"Loss","Scratch")))</f>
        <v/>
      </c>
    </row>
    <row r="875">
      <c r="A875" s="5" t="n"/>
      <c r="G875" s="6" t="n"/>
      <c r="H875" s="6" t="n"/>
      <c r="J875" s="6" t="n"/>
      <c r="K875" s="6" t="n"/>
      <c r="L875" s="7">
        <f>IF(OR(G875="",J875="",I875=""),"",ABS(G875-J875)*I875)</f>
        <v/>
      </c>
      <c r="M875" s="7">
        <f>IF(OR(G875="",H875="",I875="",F875=""),"",IF(F875="Long",(H875-G875)*I875,(G875-H875)*I875))</f>
        <v/>
      </c>
      <c r="N875" s="6">
        <f>IF(OR(M875="",L875="",L875=0),"",M875/L875)</f>
        <v/>
      </c>
      <c r="O875">
        <f>IF(M875="","",IF(M875&gt;0,"Win",IF(M875&lt;0,"Loss","Scratch")))</f>
        <v/>
      </c>
    </row>
    <row r="876">
      <c r="A876" s="5" t="n"/>
      <c r="G876" s="6" t="n"/>
      <c r="H876" s="6" t="n"/>
      <c r="J876" s="6" t="n"/>
      <c r="K876" s="6" t="n"/>
      <c r="L876" s="7">
        <f>IF(OR(G876="",J876="",I876=""),"",ABS(G876-J876)*I876)</f>
        <v/>
      </c>
      <c r="M876" s="7">
        <f>IF(OR(G876="",H876="",I876="",F876=""),"",IF(F876="Long",(H876-G876)*I876,(G876-H876)*I876))</f>
        <v/>
      </c>
      <c r="N876" s="6">
        <f>IF(OR(M876="",L876="",L876=0),"",M876/L876)</f>
        <v/>
      </c>
      <c r="O876">
        <f>IF(M876="","",IF(M876&gt;0,"Win",IF(M876&lt;0,"Loss","Scratch")))</f>
        <v/>
      </c>
    </row>
    <row r="877">
      <c r="A877" s="5" t="n"/>
      <c r="G877" s="6" t="n"/>
      <c r="H877" s="6" t="n"/>
      <c r="J877" s="6" t="n"/>
      <c r="K877" s="6" t="n"/>
      <c r="L877" s="7">
        <f>IF(OR(G877="",J877="",I877=""),"",ABS(G877-J877)*I877)</f>
        <v/>
      </c>
      <c r="M877" s="7">
        <f>IF(OR(G877="",H877="",I877="",F877=""),"",IF(F877="Long",(H877-G877)*I877,(G877-H877)*I877))</f>
        <v/>
      </c>
      <c r="N877" s="6">
        <f>IF(OR(M877="",L877="",L877=0),"",M877/L877)</f>
        <v/>
      </c>
      <c r="O877">
        <f>IF(M877="","",IF(M877&gt;0,"Win",IF(M877&lt;0,"Loss","Scratch")))</f>
        <v/>
      </c>
    </row>
    <row r="878">
      <c r="A878" s="5" t="n"/>
      <c r="G878" s="6" t="n"/>
      <c r="H878" s="6" t="n"/>
      <c r="J878" s="6" t="n"/>
      <c r="K878" s="6" t="n"/>
      <c r="L878" s="7">
        <f>IF(OR(G878="",J878="",I878=""),"",ABS(G878-J878)*I878)</f>
        <v/>
      </c>
      <c r="M878" s="7">
        <f>IF(OR(G878="",H878="",I878="",F878=""),"",IF(F878="Long",(H878-G878)*I878,(G878-H878)*I878))</f>
        <v/>
      </c>
      <c r="N878" s="6">
        <f>IF(OR(M878="",L878="",L878=0),"",M878/L878)</f>
        <v/>
      </c>
      <c r="O878">
        <f>IF(M878="","",IF(M878&gt;0,"Win",IF(M878&lt;0,"Loss","Scratch")))</f>
        <v/>
      </c>
    </row>
    <row r="879">
      <c r="A879" s="5" t="n"/>
      <c r="G879" s="6" t="n"/>
      <c r="H879" s="6" t="n"/>
      <c r="J879" s="6" t="n"/>
      <c r="K879" s="6" t="n"/>
      <c r="L879" s="7">
        <f>IF(OR(G879="",J879="",I879=""),"",ABS(G879-J879)*I879)</f>
        <v/>
      </c>
      <c r="M879" s="7">
        <f>IF(OR(G879="",H879="",I879="",F879=""),"",IF(F879="Long",(H879-G879)*I879,(G879-H879)*I879))</f>
        <v/>
      </c>
      <c r="N879" s="6">
        <f>IF(OR(M879="",L879="",L879=0),"",M879/L879)</f>
        <v/>
      </c>
      <c r="O879">
        <f>IF(M879="","",IF(M879&gt;0,"Win",IF(M879&lt;0,"Loss","Scratch")))</f>
        <v/>
      </c>
    </row>
    <row r="880">
      <c r="A880" s="5" t="n"/>
      <c r="G880" s="6" t="n"/>
      <c r="H880" s="6" t="n"/>
      <c r="J880" s="6" t="n"/>
      <c r="K880" s="6" t="n"/>
      <c r="L880" s="7">
        <f>IF(OR(G880="",J880="",I880=""),"",ABS(G880-J880)*I880)</f>
        <v/>
      </c>
      <c r="M880" s="7">
        <f>IF(OR(G880="",H880="",I880="",F880=""),"",IF(F880="Long",(H880-G880)*I880,(G880-H880)*I880))</f>
        <v/>
      </c>
      <c r="N880" s="6">
        <f>IF(OR(M880="",L880="",L880=0),"",M880/L880)</f>
        <v/>
      </c>
      <c r="O880">
        <f>IF(M880="","",IF(M880&gt;0,"Win",IF(M880&lt;0,"Loss","Scratch")))</f>
        <v/>
      </c>
    </row>
    <row r="881">
      <c r="A881" s="5" t="n"/>
      <c r="G881" s="6" t="n"/>
      <c r="H881" s="6" t="n"/>
      <c r="J881" s="6" t="n"/>
      <c r="K881" s="6" t="n"/>
      <c r="L881" s="7">
        <f>IF(OR(G881="",J881="",I881=""),"",ABS(G881-J881)*I881)</f>
        <v/>
      </c>
      <c r="M881" s="7">
        <f>IF(OR(G881="",H881="",I881="",F881=""),"",IF(F881="Long",(H881-G881)*I881,(G881-H881)*I881))</f>
        <v/>
      </c>
      <c r="N881" s="6">
        <f>IF(OR(M881="",L881="",L881=0),"",M881/L881)</f>
        <v/>
      </c>
      <c r="O881">
        <f>IF(M881="","",IF(M881&gt;0,"Win",IF(M881&lt;0,"Loss","Scratch")))</f>
        <v/>
      </c>
    </row>
    <row r="882">
      <c r="A882" s="5" t="n"/>
      <c r="G882" s="6" t="n"/>
      <c r="H882" s="6" t="n"/>
      <c r="J882" s="6" t="n"/>
      <c r="K882" s="6" t="n"/>
      <c r="L882" s="7">
        <f>IF(OR(G882="",J882="",I882=""),"",ABS(G882-J882)*I882)</f>
        <v/>
      </c>
      <c r="M882" s="7">
        <f>IF(OR(G882="",H882="",I882="",F882=""),"",IF(F882="Long",(H882-G882)*I882,(G882-H882)*I882))</f>
        <v/>
      </c>
      <c r="N882" s="6">
        <f>IF(OR(M882="",L882="",L882=0),"",M882/L882)</f>
        <v/>
      </c>
      <c r="O882">
        <f>IF(M882="","",IF(M882&gt;0,"Win",IF(M882&lt;0,"Loss","Scratch")))</f>
        <v/>
      </c>
    </row>
    <row r="883">
      <c r="A883" s="5" t="n"/>
      <c r="G883" s="6" t="n"/>
      <c r="H883" s="6" t="n"/>
      <c r="J883" s="6" t="n"/>
      <c r="K883" s="6" t="n"/>
      <c r="L883" s="7">
        <f>IF(OR(G883="",J883="",I883=""),"",ABS(G883-J883)*I883)</f>
        <v/>
      </c>
      <c r="M883" s="7">
        <f>IF(OR(G883="",H883="",I883="",F883=""),"",IF(F883="Long",(H883-G883)*I883,(G883-H883)*I883))</f>
        <v/>
      </c>
      <c r="N883" s="6">
        <f>IF(OR(M883="",L883="",L883=0),"",M883/L883)</f>
        <v/>
      </c>
      <c r="O883">
        <f>IF(M883="","",IF(M883&gt;0,"Win",IF(M883&lt;0,"Loss","Scratch")))</f>
        <v/>
      </c>
    </row>
    <row r="884">
      <c r="A884" s="5" t="n"/>
      <c r="G884" s="6" t="n"/>
      <c r="H884" s="6" t="n"/>
      <c r="J884" s="6" t="n"/>
      <c r="K884" s="6" t="n"/>
      <c r="L884" s="7">
        <f>IF(OR(G884="",J884="",I884=""),"",ABS(G884-J884)*I884)</f>
        <v/>
      </c>
      <c r="M884" s="7">
        <f>IF(OR(G884="",H884="",I884="",F884=""),"",IF(F884="Long",(H884-G884)*I884,(G884-H884)*I884))</f>
        <v/>
      </c>
      <c r="N884" s="6">
        <f>IF(OR(M884="",L884="",L884=0),"",M884/L884)</f>
        <v/>
      </c>
      <c r="O884">
        <f>IF(M884="","",IF(M884&gt;0,"Win",IF(M884&lt;0,"Loss","Scratch")))</f>
        <v/>
      </c>
    </row>
    <row r="885">
      <c r="A885" s="5" t="n"/>
      <c r="G885" s="6" t="n"/>
      <c r="H885" s="6" t="n"/>
      <c r="J885" s="6" t="n"/>
      <c r="K885" s="6" t="n"/>
      <c r="L885" s="7">
        <f>IF(OR(G885="",J885="",I885=""),"",ABS(G885-J885)*I885)</f>
        <v/>
      </c>
      <c r="M885" s="7">
        <f>IF(OR(G885="",H885="",I885="",F885=""),"",IF(F885="Long",(H885-G885)*I885,(G885-H885)*I885))</f>
        <v/>
      </c>
      <c r="N885" s="6">
        <f>IF(OR(M885="",L885="",L885=0),"",M885/L885)</f>
        <v/>
      </c>
      <c r="O885">
        <f>IF(M885="","",IF(M885&gt;0,"Win",IF(M885&lt;0,"Loss","Scratch")))</f>
        <v/>
      </c>
    </row>
    <row r="886">
      <c r="A886" s="5" t="n"/>
      <c r="G886" s="6" t="n"/>
      <c r="H886" s="6" t="n"/>
      <c r="J886" s="6" t="n"/>
      <c r="K886" s="6" t="n"/>
      <c r="L886" s="7">
        <f>IF(OR(G886="",J886="",I886=""),"",ABS(G886-J886)*I886)</f>
        <v/>
      </c>
      <c r="M886" s="7">
        <f>IF(OR(G886="",H886="",I886="",F886=""),"",IF(F886="Long",(H886-G886)*I886,(G886-H886)*I886))</f>
        <v/>
      </c>
      <c r="N886" s="6">
        <f>IF(OR(M886="",L886="",L886=0),"",M886/L886)</f>
        <v/>
      </c>
      <c r="O886">
        <f>IF(M886="","",IF(M886&gt;0,"Win",IF(M886&lt;0,"Loss","Scratch")))</f>
        <v/>
      </c>
    </row>
    <row r="887">
      <c r="A887" s="5" t="n"/>
      <c r="G887" s="6" t="n"/>
      <c r="H887" s="6" t="n"/>
      <c r="J887" s="6" t="n"/>
      <c r="K887" s="6" t="n"/>
      <c r="L887" s="7">
        <f>IF(OR(G887="",J887="",I887=""),"",ABS(G887-J887)*I887)</f>
        <v/>
      </c>
      <c r="M887" s="7">
        <f>IF(OR(G887="",H887="",I887="",F887=""),"",IF(F887="Long",(H887-G887)*I887,(G887-H887)*I887))</f>
        <v/>
      </c>
      <c r="N887" s="6">
        <f>IF(OR(M887="",L887="",L887=0),"",M887/L887)</f>
        <v/>
      </c>
      <c r="O887">
        <f>IF(M887="","",IF(M887&gt;0,"Win",IF(M887&lt;0,"Loss","Scratch")))</f>
        <v/>
      </c>
    </row>
    <row r="888">
      <c r="A888" s="5" t="n"/>
      <c r="G888" s="6" t="n"/>
      <c r="H888" s="6" t="n"/>
      <c r="J888" s="6" t="n"/>
      <c r="K888" s="6" t="n"/>
      <c r="L888" s="7">
        <f>IF(OR(G888="",J888="",I888=""),"",ABS(G888-J888)*I888)</f>
        <v/>
      </c>
      <c r="M888" s="7">
        <f>IF(OR(G888="",H888="",I888="",F888=""),"",IF(F888="Long",(H888-G888)*I888,(G888-H888)*I888))</f>
        <v/>
      </c>
      <c r="N888" s="6">
        <f>IF(OR(M888="",L888="",L888=0),"",M888/L888)</f>
        <v/>
      </c>
      <c r="O888">
        <f>IF(M888="","",IF(M888&gt;0,"Win",IF(M888&lt;0,"Loss","Scratch")))</f>
        <v/>
      </c>
    </row>
    <row r="889">
      <c r="A889" s="5" t="n"/>
      <c r="G889" s="6" t="n"/>
      <c r="H889" s="6" t="n"/>
      <c r="J889" s="6" t="n"/>
      <c r="K889" s="6" t="n"/>
      <c r="L889" s="7">
        <f>IF(OR(G889="",J889="",I889=""),"",ABS(G889-J889)*I889)</f>
        <v/>
      </c>
      <c r="M889" s="7">
        <f>IF(OR(G889="",H889="",I889="",F889=""),"",IF(F889="Long",(H889-G889)*I889,(G889-H889)*I889))</f>
        <v/>
      </c>
      <c r="N889" s="6">
        <f>IF(OR(M889="",L889="",L889=0),"",M889/L889)</f>
        <v/>
      </c>
      <c r="O889">
        <f>IF(M889="","",IF(M889&gt;0,"Win",IF(M889&lt;0,"Loss","Scratch")))</f>
        <v/>
      </c>
    </row>
    <row r="890">
      <c r="A890" s="5" t="n"/>
      <c r="G890" s="6" t="n"/>
      <c r="H890" s="6" t="n"/>
      <c r="J890" s="6" t="n"/>
      <c r="K890" s="6" t="n"/>
      <c r="L890" s="7">
        <f>IF(OR(G890="",J890="",I890=""),"",ABS(G890-J890)*I890)</f>
        <v/>
      </c>
      <c r="M890" s="7">
        <f>IF(OR(G890="",H890="",I890="",F890=""),"",IF(F890="Long",(H890-G890)*I890,(G890-H890)*I890))</f>
        <v/>
      </c>
      <c r="N890" s="6">
        <f>IF(OR(M890="",L890="",L890=0),"",M890/L890)</f>
        <v/>
      </c>
      <c r="O890">
        <f>IF(M890="","",IF(M890&gt;0,"Win",IF(M890&lt;0,"Loss","Scratch")))</f>
        <v/>
      </c>
    </row>
    <row r="891">
      <c r="A891" s="5" t="n"/>
      <c r="G891" s="6" t="n"/>
      <c r="H891" s="6" t="n"/>
      <c r="J891" s="6" t="n"/>
      <c r="K891" s="6" t="n"/>
      <c r="L891" s="7">
        <f>IF(OR(G891="",J891="",I891=""),"",ABS(G891-J891)*I891)</f>
        <v/>
      </c>
      <c r="M891" s="7">
        <f>IF(OR(G891="",H891="",I891="",F891=""),"",IF(F891="Long",(H891-G891)*I891,(G891-H891)*I891))</f>
        <v/>
      </c>
      <c r="N891" s="6">
        <f>IF(OR(M891="",L891="",L891=0),"",M891/L891)</f>
        <v/>
      </c>
      <c r="O891">
        <f>IF(M891="","",IF(M891&gt;0,"Win",IF(M891&lt;0,"Loss","Scratch")))</f>
        <v/>
      </c>
    </row>
    <row r="892">
      <c r="A892" s="5" t="n"/>
      <c r="G892" s="6" t="n"/>
      <c r="H892" s="6" t="n"/>
      <c r="J892" s="6" t="n"/>
      <c r="K892" s="6" t="n"/>
      <c r="L892" s="7">
        <f>IF(OR(G892="",J892="",I892=""),"",ABS(G892-J892)*I892)</f>
        <v/>
      </c>
      <c r="M892" s="7">
        <f>IF(OR(G892="",H892="",I892="",F892=""),"",IF(F892="Long",(H892-G892)*I892,(G892-H892)*I892))</f>
        <v/>
      </c>
      <c r="N892" s="6">
        <f>IF(OR(M892="",L892="",L892=0),"",M892/L892)</f>
        <v/>
      </c>
      <c r="O892">
        <f>IF(M892="","",IF(M892&gt;0,"Win",IF(M892&lt;0,"Loss","Scratch")))</f>
        <v/>
      </c>
    </row>
    <row r="893">
      <c r="A893" s="5" t="n"/>
      <c r="G893" s="6" t="n"/>
      <c r="H893" s="6" t="n"/>
      <c r="J893" s="6" t="n"/>
      <c r="K893" s="6" t="n"/>
      <c r="L893" s="7">
        <f>IF(OR(G893="",J893="",I893=""),"",ABS(G893-J893)*I893)</f>
        <v/>
      </c>
      <c r="M893" s="7">
        <f>IF(OR(G893="",H893="",I893="",F893=""),"",IF(F893="Long",(H893-G893)*I893,(G893-H893)*I893))</f>
        <v/>
      </c>
      <c r="N893" s="6">
        <f>IF(OR(M893="",L893="",L893=0),"",M893/L893)</f>
        <v/>
      </c>
      <c r="O893">
        <f>IF(M893="","",IF(M893&gt;0,"Win",IF(M893&lt;0,"Loss","Scratch")))</f>
        <v/>
      </c>
    </row>
    <row r="894">
      <c r="A894" s="5" t="n"/>
      <c r="G894" s="6" t="n"/>
      <c r="H894" s="6" t="n"/>
      <c r="J894" s="6" t="n"/>
      <c r="K894" s="6" t="n"/>
      <c r="L894" s="7">
        <f>IF(OR(G894="",J894="",I894=""),"",ABS(G894-J894)*I894)</f>
        <v/>
      </c>
      <c r="M894" s="7">
        <f>IF(OR(G894="",H894="",I894="",F894=""),"",IF(F894="Long",(H894-G894)*I894,(G894-H894)*I894))</f>
        <v/>
      </c>
      <c r="N894" s="6">
        <f>IF(OR(M894="",L894="",L894=0),"",M894/L894)</f>
        <v/>
      </c>
      <c r="O894">
        <f>IF(M894="","",IF(M894&gt;0,"Win",IF(M894&lt;0,"Loss","Scratch")))</f>
        <v/>
      </c>
    </row>
    <row r="895">
      <c r="A895" s="5" t="n"/>
      <c r="G895" s="6" t="n"/>
      <c r="H895" s="6" t="n"/>
      <c r="J895" s="6" t="n"/>
      <c r="K895" s="6" t="n"/>
      <c r="L895" s="7">
        <f>IF(OR(G895="",J895="",I895=""),"",ABS(G895-J895)*I895)</f>
        <v/>
      </c>
      <c r="M895" s="7">
        <f>IF(OR(G895="",H895="",I895="",F895=""),"",IF(F895="Long",(H895-G895)*I895,(G895-H895)*I895))</f>
        <v/>
      </c>
      <c r="N895" s="6">
        <f>IF(OR(M895="",L895="",L895=0),"",M895/L895)</f>
        <v/>
      </c>
      <c r="O895">
        <f>IF(M895="","",IF(M895&gt;0,"Win",IF(M895&lt;0,"Loss","Scratch")))</f>
        <v/>
      </c>
    </row>
    <row r="896">
      <c r="A896" s="5" t="n"/>
      <c r="G896" s="6" t="n"/>
      <c r="H896" s="6" t="n"/>
      <c r="J896" s="6" t="n"/>
      <c r="K896" s="6" t="n"/>
      <c r="L896" s="7">
        <f>IF(OR(G896="",J896="",I896=""),"",ABS(G896-J896)*I896)</f>
        <v/>
      </c>
      <c r="M896" s="7">
        <f>IF(OR(G896="",H896="",I896="",F896=""),"",IF(F896="Long",(H896-G896)*I896,(G896-H896)*I896))</f>
        <v/>
      </c>
      <c r="N896" s="6">
        <f>IF(OR(M896="",L896="",L896=0),"",M896/L896)</f>
        <v/>
      </c>
      <c r="O896">
        <f>IF(M896="","",IF(M896&gt;0,"Win",IF(M896&lt;0,"Loss","Scratch")))</f>
        <v/>
      </c>
    </row>
    <row r="897">
      <c r="A897" s="5" t="n"/>
      <c r="G897" s="6" t="n"/>
      <c r="H897" s="6" t="n"/>
      <c r="J897" s="6" t="n"/>
      <c r="K897" s="6" t="n"/>
      <c r="L897" s="7">
        <f>IF(OR(G897="",J897="",I897=""),"",ABS(G897-J897)*I897)</f>
        <v/>
      </c>
      <c r="M897" s="7">
        <f>IF(OR(G897="",H897="",I897="",F897=""),"",IF(F897="Long",(H897-G897)*I897,(G897-H897)*I897))</f>
        <v/>
      </c>
      <c r="N897" s="6">
        <f>IF(OR(M897="",L897="",L897=0),"",M897/L897)</f>
        <v/>
      </c>
      <c r="O897">
        <f>IF(M897="","",IF(M897&gt;0,"Win",IF(M897&lt;0,"Loss","Scratch")))</f>
        <v/>
      </c>
    </row>
    <row r="898">
      <c r="A898" s="5" t="n"/>
      <c r="G898" s="6" t="n"/>
      <c r="H898" s="6" t="n"/>
      <c r="J898" s="6" t="n"/>
      <c r="K898" s="6" t="n"/>
      <c r="L898" s="7">
        <f>IF(OR(G898="",J898="",I898=""),"",ABS(G898-J898)*I898)</f>
        <v/>
      </c>
      <c r="M898" s="7">
        <f>IF(OR(G898="",H898="",I898="",F898=""),"",IF(F898="Long",(H898-G898)*I898,(G898-H898)*I898))</f>
        <v/>
      </c>
      <c r="N898" s="6">
        <f>IF(OR(M898="",L898="",L898=0),"",M898/L898)</f>
        <v/>
      </c>
      <c r="O898">
        <f>IF(M898="","",IF(M898&gt;0,"Win",IF(M898&lt;0,"Loss","Scratch")))</f>
        <v/>
      </c>
    </row>
    <row r="899">
      <c r="A899" s="5" t="n"/>
      <c r="G899" s="6" t="n"/>
      <c r="H899" s="6" t="n"/>
      <c r="J899" s="6" t="n"/>
      <c r="K899" s="6" t="n"/>
      <c r="L899" s="7">
        <f>IF(OR(G899="",J899="",I899=""),"",ABS(G899-J899)*I899)</f>
        <v/>
      </c>
      <c r="M899" s="7">
        <f>IF(OR(G899="",H899="",I899="",F899=""),"",IF(F899="Long",(H899-G899)*I899,(G899-H899)*I899))</f>
        <v/>
      </c>
      <c r="N899" s="6">
        <f>IF(OR(M899="",L899="",L899=0),"",M899/L899)</f>
        <v/>
      </c>
      <c r="O899">
        <f>IF(M899="","",IF(M899&gt;0,"Win",IF(M899&lt;0,"Loss","Scratch")))</f>
        <v/>
      </c>
    </row>
    <row r="900">
      <c r="A900" s="5" t="n"/>
      <c r="G900" s="6" t="n"/>
      <c r="H900" s="6" t="n"/>
      <c r="J900" s="6" t="n"/>
      <c r="K900" s="6" t="n"/>
      <c r="L900" s="7">
        <f>IF(OR(G900="",J900="",I900=""),"",ABS(G900-J900)*I900)</f>
        <v/>
      </c>
      <c r="M900" s="7">
        <f>IF(OR(G900="",H900="",I900="",F900=""),"",IF(F900="Long",(H900-G900)*I900,(G900-H900)*I900))</f>
        <v/>
      </c>
      <c r="N900" s="6">
        <f>IF(OR(M900="",L900="",L900=0),"",M900/L900)</f>
        <v/>
      </c>
      <c r="O900">
        <f>IF(M900="","",IF(M900&gt;0,"Win",IF(M900&lt;0,"Loss","Scratch")))</f>
        <v/>
      </c>
    </row>
    <row r="901">
      <c r="A901" s="5" t="n"/>
      <c r="G901" s="6" t="n"/>
      <c r="H901" s="6" t="n"/>
      <c r="J901" s="6" t="n"/>
      <c r="K901" s="6" t="n"/>
      <c r="L901" s="7">
        <f>IF(OR(G901="",J901="",I901=""),"",ABS(G901-J901)*I901)</f>
        <v/>
      </c>
      <c r="M901" s="7">
        <f>IF(OR(G901="",H901="",I901="",F901=""),"",IF(F901="Long",(H901-G901)*I901,(G901-H901)*I901))</f>
        <v/>
      </c>
      <c r="N901" s="6">
        <f>IF(OR(M901="",L901="",L901=0),"",M901/L901)</f>
        <v/>
      </c>
      <c r="O901">
        <f>IF(M901="","",IF(M901&gt;0,"Win",IF(M901&lt;0,"Loss","Scratch")))</f>
        <v/>
      </c>
    </row>
    <row r="902">
      <c r="A902" s="5" t="n"/>
      <c r="G902" s="6" t="n"/>
      <c r="H902" s="6" t="n"/>
      <c r="J902" s="6" t="n"/>
      <c r="K902" s="6" t="n"/>
      <c r="L902" s="7">
        <f>IF(OR(G902="",J902="",I902=""),"",ABS(G902-J902)*I902)</f>
        <v/>
      </c>
      <c r="M902" s="7">
        <f>IF(OR(G902="",H902="",I902="",F902=""),"",IF(F902="Long",(H902-G902)*I902,(G902-H902)*I902))</f>
        <v/>
      </c>
      <c r="N902" s="6">
        <f>IF(OR(M902="",L902="",L902=0),"",M902/L902)</f>
        <v/>
      </c>
      <c r="O902">
        <f>IF(M902="","",IF(M902&gt;0,"Win",IF(M902&lt;0,"Loss","Scratch")))</f>
        <v/>
      </c>
    </row>
    <row r="903">
      <c r="A903" s="5" t="n"/>
      <c r="G903" s="6" t="n"/>
      <c r="H903" s="6" t="n"/>
      <c r="J903" s="6" t="n"/>
      <c r="K903" s="6" t="n"/>
      <c r="L903" s="7">
        <f>IF(OR(G903="",J903="",I903=""),"",ABS(G903-J903)*I903)</f>
        <v/>
      </c>
      <c r="M903" s="7">
        <f>IF(OR(G903="",H903="",I903="",F903=""),"",IF(F903="Long",(H903-G903)*I903,(G903-H903)*I903))</f>
        <v/>
      </c>
      <c r="N903" s="6">
        <f>IF(OR(M903="",L903="",L903=0),"",M903/L903)</f>
        <v/>
      </c>
      <c r="O903">
        <f>IF(M903="","",IF(M903&gt;0,"Win",IF(M903&lt;0,"Loss","Scratch")))</f>
        <v/>
      </c>
    </row>
    <row r="904">
      <c r="A904" s="5" t="n"/>
      <c r="G904" s="6" t="n"/>
      <c r="H904" s="6" t="n"/>
      <c r="J904" s="6" t="n"/>
      <c r="K904" s="6" t="n"/>
      <c r="L904" s="7">
        <f>IF(OR(G904="",J904="",I904=""),"",ABS(G904-J904)*I904)</f>
        <v/>
      </c>
      <c r="M904" s="7">
        <f>IF(OR(G904="",H904="",I904="",F904=""),"",IF(F904="Long",(H904-G904)*I904,(G904-H904)*I904))</f>
        <v/>
      </c>
      <c r="N904" s="6">
        <f>IF(OR(M904="",L904="",L904=0),"",M904/L904)</f>
        <v/>
      </c>
      <c r="O904">
        <f>IF(M904="","",IF(M904&gt;0,"Win",IF(M904&lt;0,"Loss","Scratch")))</f>
        <v/>
      </c>
    </row>
    <row r="905">
      <c r="A905" s="5" t="n"/>
      <c r="G905" s="6" t="n"/>
      <c r="H905" s="6" t="n"/>
      <c r="J905" s="6" t="n"/>
      <c r="K905" s="6" t="n"/>
      <c r="L905" s="7">
        <f>IF(OR(G905="",J905="",I905=""),"",ABS(G905-J905)*I905)</f>
        <v/>
      </c>
      <c r="M905" s="7">
        <f>IF(OR(G905="",H905="",I905="",F905=""),"",IF(F905="Long",(H905-G905)*I905,(G905-H905)*I905))</f>
        <v/>
      </c>
      <c r="N905" s="6">
        <f>IF(OR(M905="",L905="",L905=0),"",M905/L905)</f>
        <v/>
      </c>
      <c r="O905">
        <f>IF(M905="","",IF(M905&gt;0,"Win",IF(M905&lt;0,"Loss","Scratch")))</f>
        <v/>
      </c>
    </row>
    <row r="906">
      <c r="A906" s="5" t="n"/>
      <c r="G906" s="6" t="n"/>
      <c r="H906" s="6" t="n"/>
      <c r="J906" s="6" t="n"/>
      <c r="K906" s="6" t="n"/>
      <c r="L906" s="7">
        <f>IF(OR(G906="",J906="",I906=""),"",ABS(G906-J906)*I906)</f>
        <v/>
      </c>
      <c r="M906" s="7">
        <f>IF(OR(G906="",H906="",I906="",F906=""),"",IF(F906="Long",(H906-G906)*I906,(G906-H906)*I906))</f>
        <v/>
      </c>
      <c r="N906" s="6">
        <f>IF(OR(M906="",L906="",L906=0),"",M906/L906)</f>
        <v/>
      </c>
      <c r="O906">
        <f>IF(M906="","",IF(M906&gt;0,"Win",IF(M906&lt;0,"Loss","Scratch")))</f>
        <v/>
      </c>
    </row>
    <row r="907">
      <c r="A907" s="5" t="n"/>
      <c r="G907" s="6" t="n"/>
      <c r="H907" s="6" t="n"/>
      <c r="J907" s="6" t="n"/>
      <c r="K907" s="6" t="n"/>
      <c r="L907" s="7">
        <f>IF(OR(G907="",J907="",I907=""),"",ABS(G907-J907)*I907)</f>
        <v/>
      </c>
      <c r="M907" s="7">
        <f>IF(OR(G907="",H907="",I907="",F907=""),"",IF(F907="Long",(H907-G907)*I907,(G907-H907)*I907))</f>
        <v/>
      </c>
      <c r="N907" s="6">
        <f>IF(OR(M907="",L907="",L907=0),"",M907/L907)</f>
        <v/>
      </c>
      <c r="O907">
        <f>IF(M907="","",IF(M907&gt;0,"Win",IF(M907&lt;0,"Loss","Scratch")))</f>
        <v/>
      </c>
    </row>
    <row r="908">
      <c r="A908" s="5" t="n"/>
      <c r="G908" s="6" t="n"/>
      <c r="H908" s="6" t="n"/>
      <c r="J908" s="6" t="n"/>
      <c r="K908" s="6" t="n"/>
      <c r="L908" s="7">
        <f>IF(OR(G908="",J908="",I908=""),"",ABS(G908-J908)*I908)</f>
        <v/>
      </c>
      <c r="M908" s="7">
        <f>IF(OR(G908="",H908="",I908="",F908=""),"",IF(F908="Long",(H908-G908)*I908,(G908-H908)*I908))</f>
        <v/>
      </c>
      <c r="N908" s="6">
        <f>IF(OR(M908="",L908="",L908=0),"",M908/L908)</f>
        <v/>
      </c>
      <c r="O908">
        <f>IF(M908="","",IF(M908&gt;0,"Win",IF(M908&lt;0,"Loss","Scratch")))</f>
        <v/>
      </c>
    </row>
    <row r="909">
      <c r="A909" s="5" t="n"/>
      <c r="G909" s="6" t="n"/>
      <c r="H909" s="6" t="n"/>
      <c r="J909" s="6" t="n"/>
      <c r="K909" s="6" t="n"/>
      <c r="L909" s="7">
        <f>IF(OR(G909="",J909="",I909=""),"",ABS(G909-J909)*I909)</f>
        <v/>
      </c>
      <c r="M909" s="7">
        <f>IF(OR(G909="",H909="",I909="",F909=""),"",IF(F909="Long",(H909-G909)*I909,(G909-H909)*I909))</f>
        <v/>
      </c>
      <c r="N909" s="6">
        <f>IF(OR(M909="",L909="",L909=0),"",M909/L909)</f>
        <v/>
      </c>
      <c r="O909">
        <f>IF(M909="","",IF(M909&gt;0,"Win",IF(M909&lt;0,"Loss","Scratch")))</f>
        <v/>
      </c>
    </row>
    <row r="910">
      <c r="A910" s="5" t="n"/>
      <c r="G910" s="6" t="n"/>
      <c r="H910" s="6" t="n"/>
      <c r="J910" s="6" t="n"/>
      <c r="K910" s="6" t="n"/>
      <c r="L910" s="7">
        <f>IF(OR(G910="",J910="",I910=""),"",ABS(G910-J910)*I910)</f>
        <v/>
      </c>
      <c r="M910" s="7">
        <f>IF(OR(G910="",H910="",I910="",F910=""),"",IF(F910="Long",(H910-G910)*I910,(G910-H910)*I910))</f>
        <v/>
      </c>
      <c r="N910" s="6">
        <f>IF(OR(M910="",L910="",L910=0),"",M910/L910)</f>
        <v/>
      </c>
      <c r="O910">
        <f>IF(M910="","",IF(M910&gt;0,"Win",IF(M910&lt;0,"Loss","Scratch")))</f>
        <v/>
      </c>
    </row>
    <row r="911">
      <c r="A911" s="5" t="n"/>
      <c r="G911" s="6" t="n"/>
      <c r="H911" s="6" t="n"/>
      <c r="J911" s="6" t="n"/>
      <c r="K911" s="6" t="n"/>
      <c r="L911" s="7">
        <f>IF(OR(G911="",J911="",I911=""),"",ABS(G911-J911)*I911)</f>
        <v/>
      </c>
      <c r="M911" s="7">
        <f>IF(OR(G911="",H911="",I911="",F911=""),"",IF(F911="Long",(H911-G911)*I911,(G911-H911)*I911))</f>
        <v/>
      </c>
      <c r="N911" s="6">
        <f>IF(OR(M911="",L911="",L911=0),"",M911/L911)</f>
        <v/>
      </c>
      <c r="O911">
        <f>IF(M911="","",IF(M911&gt;0,"Win",IF(M911&lt;0,"Loss","Scratch")))</f>
        <v/>
      </c>
    </row>
    <row r="912">
      <c r="A912" s="5" t="n"/>
      <c r="G912" s="6" t="n"/>
      <c r="H912" s="6" t="n"/>
      <c r="J912" s="6" t="n"/>
      <c r="K912" s="6" t="n"/>
      <c r="L912" s="7">
        <f>IF(OR(G912="",J912="",I912=""),"",ABS(G912-J912)*I912)</f>
        <v/>
      </c>
      <c r="M912" s="7">
        <f>IF(OR(G912="",H912="",I912="",F912=""),"",IF(F912="Long",(H912-G912)*I912,(G912-H912)*I912))</f>
        <v/>
      </c>
      <c r="N912" s="6">
        <f>IF(OR(M912="",L912="",L912=0),"",M912/L912)</f>
        <v/>
      </c>
      <c r="O912">
        <f>IF(M912="","",IF(M912&gt;0,"Win",IF(M912&lt;0,"Loss","Scratch")))</f>
        <v/>
      </c>
    </row>
    <row r="913">
      <c r="A913" s="5" t="n"/>
      <c r="G913" s="6" t="n"/>
      <c r="H913" s="6" t="n"/>
      <c r="J913" s="6" t="n"/>
      <c r="K913" s="6" t="n"/>
      <c r="L913" s="7">
        <f>IF(OR(G913="",J913="",I913=""),"",ABS(G913-J913)*I913)</f>
        <v/>
      </c>
      <c r="M913" s="7">
        <f>IF(OR(G913="",H913="",I913="",F913=""),"",IF(F913="Long",(H913-G913)*I913,(G913-H913)*I913))</f>
        <v/>
      </c>
      <c r="N913" s="6">
        <f>IF(OR(M913="",L913="",L913=0),"",M913/L913)</f>
        <v/>
      </c>
      <c r="O913">
        <f>IF(M913="","",IF(M913&gt;0,"Win",IF(M913&lt;0,"Loss","Scratch")))</f>
        <v/>
      </c>
    </row>
    <row r="914">
      <c r="A914" s="5" t="n"/>
      <c r="G914" s="6" t="n"/>
      <c r="H914" s="6" t="n"/>
      <c r="J914" s="6" t="n"/>
      <c r="K914" s="6" t="n"/>
      <c r="L914" s="7">
        <f>IF(OR(G914="",J914="",I914=""),"",ABS(G914-J914)*I914)</f>
        <v/>
      </c>
      <c r="M914" s="7">
        <f>IF(OR(G914="",H914="",I914="",F914=""),"",IF(F914="Long",(H914-G914)*I914,(G914-H914)*I914))</f>
        <v/>
      </c>
      <c r="N914" s="6">
        <f>IF(OR(M914="",L914="",L914=0),"",M914/L914)</f>
        <v/>
      </c>
      <c r="O914">
        <f>IF(M914="","",IF(M914&gt;0,"Win",IF(M914&lt;0,"Loss","Scratch")))</f>
        <v/>
      </c>
    </row>
    <row r="915">
      <c r="A915" s="5" t="n"/>
      <c r="G915" s="6" t="n"/>
      <c r="H915" s="6" t="n"/>
      <c r="J915" s="6" t="n"/>
      <c r="K915" s="6" t="n"/>
      <c r="L915" s="7">
        <f>IF(OR(G915="",J915="",I915=""),"",ABS(G915-J915)*I915)</f>
        <v/>
      </c>
      <c r="M915" s="7">
        <f>IF(OR(G915="",H915="",I915="",F915=""),"",IF(F915="Long",(H915-G915)*I915,(G915-H915)*I915))</f>
        <v/>
      </c>
      <c r="N915" s="6">
        <f>IF(OR(M915="",L915="",L915=0),"",M915/L915)</f>
        <v/>
      </c>
      <c r="O915">
        <f>IF(M915="","",IF(M915&gt;0,"Win",IF(M915&lt;0,"Loss","Scratch")))</f>
        <v/>
      </c>
    </row>
    <row r="916">
      <c r="A916" s="5" t="n"/>
      <c r="G916" s="6" t="n"/>
      <c r="H916" s="6" t="n"/>
      <c r="J916" s="6" t="n"/>
      <c r="K916" s="6" t="n"/>
      <c r="L916" s="7">
        <f>IF(OR(G916="",J916="",I916=""),"",ABS(G916-J916)*I916)</f>
        <v/>
      </c>
      <c r="M916" s="7">
        <f>IF(OR(G916="",H916="",I916="",F916=""),"",IF(F916="Long",(H916-G916)*I916,(G916-H916)*I916))</f>
        <v/>
      </c>
      <c r="N916" s="6">
        <f>IF(OR(M916="",L916="",L916=0),"",M916/L916)</f>
        <v/>
      </c>
      <c r="O916">
        <f>IF(M916="","",IF(M916&gt;0,"Win",IF(M916&lt;0,"Loss","Scratch")))</f>
        <v/>
      </c>
    </row>
    <row r="917">
      <c r="A917" s="5" t="n"/>
      <c r="G917" s="6" t="n"/>
      <c r="H917" s="6" t="n"/>
      <c r="J917" s="6" t="n"/>
      <c r="K917" s="6" t="n"/>
      <c r="L917" s="7">
        <f>IF(OR(G917="",J917="",I917=""),"",ABS(G917-J917)*I917)</f>
        <v/>
      </c>
      <c r="M917" s="7">
        <f>IF(OR(G917="",H917="",I917="",F917=""),"",IF(F917="Long",(H917-G917)*I917,(G917-H917)*I917))</f>
        <v/>
      </c>
      <c r="N917" s="6">
        <f>IF(OR(M917="",L917="",L917=0),"",M917/L917)</f>
        <v/>
      </c>
      <c r="O917">
        <f>IF(M917="","",IF(M917&gt;0,"Win",IF(M917&lt;0,"Loss","Scratch")))</f>
        <v/>
      </c>
    </row>
    <row r="918">
      <c r="A918" s="5" t="n"/>
      <c r="G918" s="6" t="n"/>
      <c r="H918" s="6" t="n"/>
      <c r="J918" s="6" t="n"/>
      <c r="K918" s="6" t="n"/>
      <c r="L918" s="7">
        <f>IF(OR(G918="",J918="",I918=""),"",ABS(G918-J918)*I918)</f>
        <v/>
      </c>
      <c r="M918" s="7">
        <f>IF(OR(G918="",H918="",I918="",F918=""),"",IF(F918="Long",(H918-G918)*I918,(G918-H918)*I918))</f>
        <v/>
      </c>
      <c r="N918" s="6">
        <f>IF(OR(M918="",L918="",L918=0),"",M918/L918)</f>
        <v/>
      </c>
      <c r="O918">
        <f>IF(M918="","",IF(M918&gt;0,"Win",IF(M918&lt;0,"Loss","Scratch")))</f>
        <v/>
      </c>
    </row>
    <row r="919">
      <c r="A919" s="5" t="n"/>
      <c r="G919" s="6" t="n"/>
      <c r="H919" s="6" t="n"/>
      <c r="J919" s="6" t="n"/>
      <c r="K919" s="6" t="n"/>
      <c r="L919" s="7">
        <f>IF(OR(G919="",J919="",I919=""),"",ABS(G919-J919)*I919)</f>
        <v/>
      </c>
      <c r="M919" s="7">
        <f>IF(OR(G919="",H919="",I919="",F919=""),"",IF(F919="Long",(H919-G919)*I919,(G919-H919)*I919))</f>
        <v/>
      </c>
      <c r="N919" s="6">
        <f>IF(OR(M919="",L919="",L919=0),"",M919/L919)</f>
        <v/>
      </c>
      <c r="O919">
        <f>IF(M919="","",IF(M919&gt;0,"Win",IF(M919&lt;0,"Loss","Scratch")))</f>
        <v/>
      </c>
    </row>
    <row r="920">
      <c r="A920" s="5" t="n"/>
      <c r="G920" s="6" t="n"/>
      <c r="H920" s="6" t="n"/>
      <c r="J920" s="6" t="n"/>
      <c r="K920" s="6" t="n"/>
      <c r="L920" s="7">
        <f>IF(OR(G920="",J920="",I920=""),"",ABS(G920-J920)*I920)</f>
        <v/>
      </c>
      <c r="M920" s="7">
        <f>IF(OR(G920="",H920="",I920="",F920=""),"",IF(F920="Long",(H920-G920)*I920,(G920-H920)*I920))</f>
        <v/>
      </c>
      <c r="N920" s="6">
        <f>IF(OR(M920="",L920="",L920=0),"",M920/L920)</f>
        <v/>
      </c>
      <c r="O920">
        <f>IF(M920="","",IF(M920&gt;0,"Win",IF(M920&lt;0,"Loss","Scratch")))</f>
        <v/>
      </c>
    </row>
    <row r="921">
      <c r="A921" s="5" t="n"/>
      <c r="G921" s="6" t="n"/>
      <c r="H921" s="6" t="n"/>
      <c r="J921" s="6" t="n"/>
      <c r="K921" s="6" t="n"/>
      <c r="L921" s="7">
        <f>IF(OR(G921="",J921="",I921=""),"",ABS(G921-J921)*I921)</f>
        <v/>
      </c>
      <c r="M921" s="7">
        <f>IF(OR(G921="",H921="",I921="",F921=""),"",IF(F921="Long",(H921-G921)*I921,(G921-H921)*I921))</f>
        <v/>
      </c>
      <c r="N921" s="6">
        <f>IF(OR(M921="",L921="",L921=0),"",M921/L921)</f>
        <v/>
      </c>
      <c r="O921">
        <f>IF(M921="","",IF(M921&gt;0,"Win",IF(M921&lt;0,"Loss","Scratch")))</f>
        <v/>
      </c>
    </row>
    <row r="922">
      <c r="A922" s="5" t="n"/>
      <c r="G922" s="6" t="n"/>
      <c r="H922" s="6" t="n"/>
      <c r="J922" s="6" t="n"/>
      <c r="K922" s="6" t="n"/>
      <c r="L922" s="7">
        <f>IF(OR(G922="",J922="",I922=""),"",ABS(G922-J922)*I922)</f>
        <v/>
      </c>
      <c r="M922" s="7">
        <f>IF(OR(G922="",H922="",I922="",F922=""),"",IF(F922="Long",(H922-G922)*I922,(G922-H922)*I922))</f>
        <v/>
      </c>
      <c r="N922" s="6">
        <f>IF(OR(M922="",L922="",L922=0),"",M922/L922)</f>
        <v/>
      </c>
      <c r="O922">
        <f>IF(M922="","",IF(M922&gt;0,"Win",IF(M922&lt;0,"Loss","Scratch")))</f>
        <v/>
      </c>
    </row>
    <row r="923">
      <c r="A923" s="5" t="n"/>
      <c r="G923" s="6" t="n"/>
      <c r="H923" s="6" t="n"/>
      <c r="J923" s="6" t="n"/>
      <c r="K923" s="6" t="n"/>
      <c r="L923" s="7">
        <f>IF(OR(G923="",J923="",I923=""),"",ABS(G923-J923)*I923)</f>
        <v/>
      </c>
      <c r="M923" s="7">
        <f>IF(OR(G923="",H923="",I923="",F923=""),"",IF(F923="Long",(H923-G923)*I923,(G923-H923)*I923))</f>
        <v/>
      </c>
      <c r="N923" s="6">
        <f>IF(OR(M923="",L923="",L923=0),"",M923/L923)</f>
        <v/>
      </c>
      <c r="O923">
        <f>IF(M923="","",IF(M923&gt;0,"Win",IF(M923&lt;0,"Loss","Scratch")))</f>
        <v/>
      </c>
    </row>
    <row r="924">
      <c r="A924" s="5" t="n"/>
      <c r="G924" s="6" t="n"/>
      <c r="H924" s="6" t="n"/>
      <c r="J924" s="6" t="n"/>
      <c r="K924" s="6" t="n"/>
      <c r="L924" s="7">
        <f>IF(OR(G924="",J924="",I924=""),"",ABS(G924-J924)*I924)</f>
        <v/>
      </c>
      <c r="M924" s="7">
        <f>IF(OR(G924="",H924="",I924="",F924=""),"",IF(F924="Long",(H924-G924)*I924,(G924-H924)*I924))</f>
        <v/>
      </c>
      <c r="N924" s="6">
        <f>IF(OR(M924="",L924="",L924=0),"",M924/L924)</f>
        <v/>
      </c>
      <c r="O924">
        <f>IF(M924="","",IF(M924&gt;0,"Win",IF(M924&lt;0,"Loss","Scratch")))</f>
        <v/>
      </c>
    </row>
    <row r="925">
      <c r="A925" s="5" t="n"/>
      <c r="G925" s="6" t="n"/>
      <c r="H925" s="6" t="n"/>
      <c r="J925" s="6" t="n"/>
      <c r="K925" s="6" t="n"/>
      <c r="L925" s="7">
        <f>IF(OR(G925="",J925="",I925=""),"",ABS(G925-J925)*I925)</f>
        <v/>
      </c>
      <c r="M925" s="7">
        <f>IF(OR(G925="",H925="",I925="",F925=""),"",IF(F925="Long",(H925-G925)*I925,(G925-H925)*I925))</f>
        <v/>
      </c>
      <c r="N925" s="6">
        <f>IF(OR(M925="",L925="",L925=0),"",M925/L925)</f>
        <v/>
      </c>
      <c r="O925">
        <f>IF(M925="","",IF(M925&gt;0,"Win",IF(M925&lt;0,"Loss","Scratch")))</f>
        <v/>
      </c>
    </row>
    <row r="926">
      <c r="A926" s="5" t="n"/>
      <c r="G926" s="6" t="n"/>
      <c r="H926" s="6" t="n"/>
      <c r="J926" s="6" t="n"/>
      <c r="K926" s="6" t="n"/>
      <c r="L926" s="7">
        <f>IF(OR(G926="",J926="",I926=""),"",ABS(G926-J926)*I926)</f>
        <v/>
      </c>
      <c r="M926" s="7">
        <f>IF(OR(G926="",H926="",I926="",F926=""),"",IF(F926="Long",(H926-G926)*I926,(G926-H926)*I926))</f>
        <v/>
      </c>
      <c r="N926" s="6">
        <f>IF(OR(M926="",L926="",L926=0),"",M926/L926)</f>
        <v/>
      </c>
      <c r="O926">
        <f>IF(M926="","",IF(M926&gt;0,"Win",IF(M926&lt;0,"Loss","Scratch")))</f>
        <v/>
      </c>
    </row>
    <row r="927">
      <c r="A927" s="5" t="n"/>
      <c r="G927" s="6" t="n"/>
      <c r="H927" s="6" t="n"/>
      <c r="J927" s="6" t="n"/>
      <c r="K927" s="6" t="n"/>
      <c r="L927" s="7">
        <f>IF(OR(G927="",J927="",I927=""),"",ABS(G927-J927)*I927)</f>
        <v/>
      </c>
      <c r="M927" s="7">
        <f>IF(OR(G927="",H927="",I927="",F927=""),"",IF(F927="Long",(H927-G927)*I927,(G927-H927)*I927))</f>
        <v/>
      </c>
      <c r="N927" s="6">
        <f>IF(OR(M927="",L927="",L927=0),"",M927/L927)</f>
        <v/>
      </c>
      <c r="O927">
        <f>IF(M927="","",IF(M927&gt;0,"Win",IF(M927&lt;0,"Loss","Scratch")))</f>
        <v/>
      </c>
    </row>
    <row r="928">
      <c r="A928" s="5" t="n"/>
      <c r="G928" s="6" t="n"/>
      <c r="H928" s="6" t="n"/>
      <c r="J928" s="6" t="n"/>
      <c r="K928" s="6" t="n"/>
      <c r="L928" s="7">
        <f>IF(OR(G928="",J928="",I928=""),"",ABS(G928-J928)*I928)</f>
        <v/>
      </c>
      <c r="M928" s="7">
        <f>IF(OR(G928="",H928="",I928="",F928=""),"",IF(F928="Long",(H928-G928)*I928,(G928-H928)*I928))</f>
        <v/>
      </c>
      <c r="N928" s="6">
        <f>IF(OR(M928="",L928="",L928=0),"",M928/L928)</f>
        <v/>
      </c>
      <c r="O928">
        <f>IF(M928="","",IF(M928&gt;0,"Win",IF(M928&lt;0,"Loss","Scratch")))</f>
        <v/>
      </c>
    </row>
    <row r="929">
      <c r="A929" s="5" t="n"/>
      <c r="G929" s="6" t="n"/>
      <c r="H929" s="6" t="n"/>
      <c r="J929" s="6" t="n"/>
      <c r="K929" s="6" t="n"/>
      <c r="L929" s="7">
        <f>IF(OR(G929="",J929="",I929=""),"",ABS(G929-J929)*I929)</f>
        <v/>
      </c>
      <c r="M929" s="7">
        <f>IF(OR(G929="",H929="",I929="",F929=""),"",IF(F929="Long",(H929-G929)*I929,(G929-H929)*I929))</f>
        <v/>
      </c>
      <c r="N929" s="6">
        <f>IF(OR(M929="",L929="",L929=0),"",M929/L929)</f>
        <v/>
      </c>
      <c r="O929">
        <f>IF(M929="","",IF(M929&gt;0,"Win",IF(M929&lt;0,"Loss","Scratch")))</f>
        <v/>
      </c>
    </row>
    <row r="930">
      <c r="A930" s="5" t="n"/>
      <c r="G930" s="6" t="n"/>
      <c r="H930" s="6" t="n"/>
      <c r="J930" s="6" t="n"/>
      <c r="K930" s="6" t="n"/>
      <c r="L930" s="7">
        <f>IF(OR(G930="",J930="",I930=""),"",ABS(G930-J930)*I930)</f>
        <v/>
      </c>
      <c r="M930" s="7">
        <f>IF(OR(G930="",H930="",I930="",F930=""),"",IF(F930="Long",(H930-G930)*I930,(G930-H930)*I930))</f>
        <v/>
      </c>
      <c r="N930" s="6">
        <f>IF(OR(M930="",L930="",L930=0),"",M930/L930)</f>
        <v/>
      </c>
      <c r="O930">
        <f>IF(M930="","",IF(M930&gt;0,"Win",IF(M930&lt;0,"Loss","Scratch")))</f>
        <v/>
      </c>
    </row>
    <row r="931">
      <c r="A931" s="5" t="n"/>
      <c r="G931" s="6" t="n"/>
      <c r="H931" s="6" t="n"/>
      <c r="J931" s="6" t="n"/>
      <c r="K931" s="6" t="n"/>
      <c r="L931" s="7">
        <f>IF(OR(G931="",J931="",I931=""),"",ABS(G931-J931)*I931)</f>
        <v/>
      </c>
      <c r="M931" s="7">
        <f>IF(OR(G931="",H931="",I931="",F931=""),"",IF(F931="Long",(H931-G931)*I931,(G931-H931)*I931))</f>
        <v/>
      </c>
      <c r="N931" s="6">
        <f>IF(OR(M931="",L931="",L931=0),"",M931/L931)</f>
        <v/>
      </c>
      <c r="O931">
        <f>IF(M931="","",IF(M931&gt;0,"Win",IF(M931&lt;0,"Loss","Scratch")))</f>
        <v/>
      </c>
    </row>
    <row r="932">
      <c r="A932" s="5" t="n"/>
      <c r="G932" s="6" t="n"/>
      <c r="H932" s="6" t="n"/>
      <c r="J932" s="6" t="n"/>
      <c r="K932" s="6" t="n"/>
      <c r="L932" s="7">
        <f>IF(OR(G932="",J932="",I932=""),"",ABS(G932-J932)*I932)</f>
        <v/>
      </c>
      <c r="M932" s="7">
        <f>IF(OR(G932="",H932="",I932="",F932=""),"",IF(F932="Long",(H932-G932)*I932,(G932-H932)*I932))</f>
        <v/>
      </c>
      <c r="N932" s="6">
        <f>IF(OR(M932="",L932="",L932=0),"",M932/L932)</f>
        <v/>
      </c>
      <c r="O932">
        <f>IF(M932="","",IF(M932&gt;0,"Win",IF(M932&lt;0,"Loss","Scratch")))</f>
        <v/>
      </c>
    </row>
    <row r="933">
      <c r="A933" s="5" t="n"/>
      <c r="G933" s="6" t="n"/>
      <c r="H933" s="6" t="n"/>
      <c r="J933" s="6" t="n"/>
      <c r="K933" s="6" t="n"/>
      <c r="L933" s="7">
        <f>IF(OR(G933="",J933="",I933=""),"",ABS(G933-J933)*I933)</f>
        <v/>
      </c>
      <c r="M933" s="7">
        <f>IF(OR(G933="",H933="",I933="",F933=""),"",IF(F933="Long",(H933-G933)*I933,(G933-H933)*I933))</f>
        <v/>
      </c>
      <c r="N933" s="6">
        <f>IF(OR(M933="",L933="",L933=0),"",M933/L933)</f>
        <v/>
      </c>
      <c r="O933">
        <f>IF(M933="","",IF(M933&gt;0,"Win",IF(M933&lt;0,"Loss","Scratch")))</f>
        <v/>
      </c>
    </row>
    <row r="934">
      <c r="A934" s="5" t="n"/>
      <c r="G934" s="6" t="n"/>
      <c r="H934" s="6" t="n"/>
      <c r="J934" s="6" t="n"/>
      <c r="K934" s="6" t="n"/>
      <c r="L934" s="7">
        <f>IF(OR(G934="",J934="",I934=""),"",ABS(G934-J934)*I934)</f>
        <v/>
      </c>
      <c r="M934" s="7">
        <f>IF(OR(G934="",H934="",I934="",F934=""),"",IF(F934="Long",(H934-G934)*I934,(G934-H934)*I934))</f>
        <v/>
      </c>
      <c r="N934" s="6">
        <f>IF(OR(M934="",L934="",L934=0),"",M934/L934)</f>
        <v/>
      </c>
      <c r="O934">
        <f>IF(M934="","",IF(M934&gt;0,"Win",IF(M934&lt;0,"Loss","Scratch")))</f>
        <v/>
      </c>
    </row>
    <row r="935">
      <c r="A935" s="5" t="n"/>
      <c r="G935" s="6" t="n"/>
      <c r="H935" s="6" t="n"/>
      <c r="J935" s="6" t="n"/>
      <c r="K935" s="6" t="n"/>
      <c r="L935" s="7">
        <f>IF(OR(G935="",J935="",I935=""),"",ABS(G935-J935)*I935)</f>
        <v/>
      </c>
      <c r="M935" s="7">
        <f>IF(OR(G935="",H935="",I935="",F935=""),"",IF(F935="Long",(H935-G935)*I935,(G935-H935)*I935))</f>
        <v/>
      </c>
      <c r="N935" s="6">
        <f>IF(OR(M935="",L935="",L935=0),"",M935/L935)</f>
        <v/>
      </c>
      <c r="O935">
        <f>IF(M935="","",IF(M935&gt;0,"Win",IF(M935&lt;0,"Loss","Scratch")))</f>
        <v/>
      </c>
    </row>
    <row r="936">
      <c r="A936" s="5" t="n"/>
      <c r="G936" s="6" t="n"/>
      <c r="H936" s="6" t="n"/>
      <c r="J936" s="6" t="n"/>
      <c r="K936" s="6" t="n"/>
      <c r="L936" s="7">
        <f>IF(OR(G936="",J936="",I936=""),"",ABS(G936-J936)*I936)</f>
        <v/>
      </c>
      <c r="M936" s="7">
        <f>IF(OR(G936="",H936="",I936="",F936=""),"",IF(F936="Long",(H936-G936)*I936,(G936-H936)*I936))</f>
        <v/>
      </c>
      <c r="N936" s="6">
        <f>IF(OR(M936="",L936="",L936=0),"",M936/L936)</f>
        <v/>
      </c>
      <c r="O936">
        <f>IF(M936="","",IF(M936&gt;0,"Win",IF(M936&lt;0,"Loss","Scratch")))</f>
        <v/>
      </c>
    </row>
    <row r="937">
      <c r="A937" s="5" t="n"/>
      <c r="G937" s="6" t="n"/>
      <c r="H937" s="6" t="n"/>
      <c r="J937" s="6" t="n"/>
      <c r="K937" s="6" t="n"/>
      <c r="L937" s="7">
        <f>IF(OR(G937="",J937="",I937=""),"",ABS(G937-J937)*I937)</f>
        <v/>
      </c>
      <c r="M937" s="7">
        <f>IF(OR(G937="",H937="",I937="",F937=""),"",IF(F937="Long",(H937-G937)*I937,(G937-H937)*I937))</f>
        <v/>
      </c>
      <c r="N937" s="6">
        <f>IF(OR(M937="",L937="",L937=0),"",M937/L937)</f>
        <v/>
      </c>
      <c r="O937">
        <f>IF(M937="","",IF(M937&gt;0,"Win",IF(M937&lt;0,"Loss","Scratch")))</f>
        <v/>
      </c>
    </row>
    <row r="938">
      <c r="A938" s="5" t="n"/>
      <c r="G938" s="6" t="n"/>
      <c r="H938" s="6" t="n"/>
      <c r="J938" s="6" t="n"/>
      <c r="K938" s="6" t="n"/>
      <c r="L938" s="7">
        <f>IF(OR(G938="",J938="",I938=""),"",ABS(G938-J938)*I938)</f>
        <v/>
      </c>
      <c r="M938" s="7">
        <f>IF(OR(G938="",H938="",I938="",F938=""),"",IF(F938="Long",(H938-G938)*I938,(G938-H938)*I938))</f>
        <v/>
      </c>
      <c r="N938" s="6">
        <f>IF(OR(M938="",L938="",L938=0),"",M938/L938)</f>
        <v/>
      </c>
      <c r="O938">
        <f>IF(M938="","",IF(M938&gt;0,"Win",IF(M938&lt;0,"Loss","Scratch")))</f>
        <v/>
      </c>
    </row>
    <row r="939">
      <c r="A939" s="5" t="n"/>
      <c r="G939" s="6" t="n"/>
      <c r="H939" s="6" t="n"/>
      <c r="J939" s="6" t="n"/>
      <c r="K939" s="6" t="n"/>
      <c r="L939" s="7">
        <f>IF(OR(G939="",J939="",I939=""),"",ABS(G939-J939)*I939)</f>
        <v/>
      </c>
      <c r="M939" s="7">
        <f>IF(OR(G939="",H939="",I939="",F939=""),"",IF(F939="Long",(H939-G939)*I939,(G939-H939)*I939))</f>
        <v/>
      </c>
      <c r="N939" s="6">
        <f>IF(OR(M939="",L939="",L939=0),"",M939/L939)</f>
        <v/>
      </c>
      <c r="O939">
        <f>IF(M939="","",IF(M939&gt;0,"Win",IF(M939&lt;0,"Loss","Scratch")))</f>
        <v/>
      </c>
    </row>
    <row r="940">
      <c r="A940" s="5" t="n"/>
      <c r="G940" s="6" t="n"/>
      <c r="H940" s="6" t="n"/>
      <c r="J940" s="6" t="n"/>
      <c r="K940" s="6" t="n"/>
      <c r="L940" s="7">
        <f>IF(OR(G940="",J940="",I940=""),"",ABS(G940-J940)*I940)</f>
        <v/>
      </c>
      <c r="M940" s="7">
        <f>IF(OR(G940="",H940="",I940="",F940=""),"",IF(F940="Long",(H940-G940)*I940,(G940-H940)*I940))</f>
        <v/>
      </c>
      <c r="N940" s="6">
        <f>IF(OR(M940="",L940="",L940=0),"",M940/L940)</f>
        <v/>
      </c>
      <c r="O940">
        <f>IF(M940="","",IF(M940&gt;0,"Win",IF(M940&lt;0,"Loss","Scratch")))</f>
        <v/>
      </c>
    </row>
    <row r="941">
      <c r="A941" s="5" t="n"/>
      <c r="G941" s="6" t="n"/>
      <c r="H941" s="6" t="n"/>
      <c r="J941" s="6" t="n"/>
      <c r="K941" s="6" t="n"/>
      <c r="L941" s="7">
        <f>IF(OR(G941="",J941="",I941=""),"",ABS(G941-J941)*I941)</f>
        <v/>
      </c>
      <c r="M941" s="7">
        <f>IF(OR(G941="",H941="",I941="",F941=""),"",IF(F941="Long",(H941-G941)*I941,(G941-H941)*I941))</f>
        <v/>
      </c>
      <c r="N941" s="6">
        <f>IF(OR(M941="",L941="",L941=0),"",M941/L941)</f>
        <v/>
      </c>
      <c r="O941">
        <f>IF(M941="","",IF(M941&gt;0,"Win",IF(M941&lt;0,"Loss","Scratch")))</f>
        <v/>
      </c>
    </row>
    <row r="942">
      <c r="A942" s="5" t="n"/>
      <c r="G942" s="6" t="n"/>
      <c r="H942" s="6" t="n"/>
      <c r="J942" s="6" t="n"/>
      <c r="K942" s="6" t="n"/>
      <c r="L942" s="7">
        <f>IF(OR(G942="",J942="",I942=""),"",ABS(G942-J942)*I942)</f>
        <v/>
      </c>
      <c r="M942" s="7">
        <f>IF(OR(G942="",H942="",I942="",F942=""),"",IF(F942="Long",(H942-G942)*I942,(G942-H942)*I942))</f>
        <v/>
      </c>
      <c r="N942" s="6">
        <f>IF(OR(M942="",L942="",L942=0),"",M942/L942)</f>
        <v/>
      </c>
      <c r="O942">
        <f>IF(M942="","",IF(M942&gt;0,"Win",IF(M942&lt;0,"Loss","Scratch")))</f>
        <v/>
      </c>
    </row>
    <row r="943">
      <c r="A943" s="5" t="n"/>
      <c r="G943" s="6" t="n"/>
      <c r="H943" s="6" t="n"/>
      <c r="J943" s="6" t="n"/>
      <c r="K943" s="6" t="n"/>
      <c r="L943" s="7">
        <f>IF(OR(G943="",J943="",I943=""),"",ABS(G943-J943)*I943)</f>
        <v/>
      </c>
      <c r="M943" s="7">
        <f>IF(OR(G943="",H943="",I943="",F943=""),"",IF(F943="Long",(H943-G943)*I943,(G943-H943)*I943))</f>
        <v/>
      </c>
      <c r="N943" s="6">
        <f>IF(OR(M943="",L943="",L943=0),"",M943/L943)</f>
        <v/>
      </c>
      <c r="O943">
        <f>IF(M943="","",IF(M943&gt;0,"Win",IF(M943&lt;0,"Loss","Scratch")))</f>
        <v/>
      </c>
    </row>
    <row r="944">
      <c r="A944" s="5" t="n"/>
      <c r="G944" s="6" t="n"/>
      <c r="H944" s="6" t="n"/>
      <c r="J944" s="6" t="n"/>
      <c r="K944" s="6" t="n"/>
      <c r="L944" s="7">
        <f>IF(OR(G944="",J944="",I944=""),"",ABS(G944-J944)*I944)</f>
        <v/>
      </c>
      <c r="M944" s="7">
        <f>IF(OR(G944="",H944="",I944="",F944=""),"",IF(F944="Long",(H944-G944)*I944,(G944-H944)*I944))</f>
        <v/>
      </c>
      <c r="N944" s="6">
        <f>IF(OR(M944="",L944="",L944=0),"",M944/L944)</f>
        <v/>
      </c>
      <c r="O944">
        <f>IF(M944="","",IF(M944&gt;0,"Win",IF(M944&lt;0,"Loss","Scratch")))</f>
        <v/>
      </c>
    </row>
    <row r="945">
      <c r="A945" s="5" t="n"/>
      <c r="G945" s="6" t="n"/>
      <c r="H945" s="6" t="n"/>
      <c r="J945" s="6" t="n"/>
      <c r="K945" s="6" t="n"/>
      <c r="L945" s="7">
        <f>IF(OR(G945="",J945="",I945=""),"",ABS(G945-J945)*I945)</f>
        <v/>
      </c>
      <c r="M945" s="7">
        <f>IF(OR(G945="",H945="",I945="",F945=""),"",IF(F945="Long",(H945-G945)*I945,(G945-H945)*I945))</f>
        <v/>
      </c>
      <c r="N945" s="6">
        <f>IF(OR(M945="",L945="",L945=0),"",M945/L945)</f>
        <v/>
      </c>
      <c r="O945">
        <f>IF(M945="","",IF(M945&gt;0,"Win",IF(M945&lt;0,"Loss","Scratch")))</f>
        <v/>
      </c>
    </row>
    <row r="946">
      <c r="A946" s="5" t="n"/>
      <c r="G946" s="6" t="n"/>
      <c r="H946" s="6" t="n"/>
      <c r="J946" s="6" t="n"/>
      <c r="K946" s="6" t="n"/>
      <c r="L946" s="7">
        <f>IF(OR(G946="",J946="",I946=""),"",ABS(G946-J946)*I946)</f>
        <v/>
      </c>
      <c r="M946" s="7">
        <f>IF(OR(G946="",H946="",I946="",F946=""),"",IF(F946="Long",(H946-G946)*I946,(G946-H946)*I946))</f>
        <v/>
      </c>
      <c r="N946" s="6">
        <f>IF(OR(M946="",L946="",L946=0),"",M946/L946)</f>
        <v/>
      </c>
      <c r="O946">
        <f>IF(M946="","",IF(M946&gt;0,"Win",IF(M946&lt;0,"Loss","Scratch")))</f>
        <v/>
      </c>
    </row>
    <row r="947">
      <c r="A947" s="5" t="n"/>
      <c r="G947" s="6" t="n"/>
      <c r="H947" s="6" t="n"/>
      <c r="J947" s="6" t="n"/>
      <c r="K947" s="6" t="n"/>
      <c r="L947" s="7">
        <f>IF(OR(G947="",J947="",I947=""),"",ABS(G947-J947)*I947)</f>
        <v/>
      </c>
      <c r="M947" s="7">
        <f>IF(OR(G947="",H947="",I947="",F947=""),"",IF(F947="Long",(H947-G947)*I947,(G947-H947)*I947))</f>
        <v/>
      </c>
      <c r="N947" s="6">
        <f>IF(OR(M947="",L947="",L947=0),"",M947/L947)</f>
        <v/>
      </c>
      <c r="O947">
        <f>IF(M947="","",IF(M947&gt;0,"Win",IF(M947&lt;0,"Loss","Scratch")))</f>
        <v/>
      </c>
    </row>
    <row r="948">
      <c r="A948" s="5" t="n"/>
      <c r="G948" s="6" t="n"/>
      <c r="H948" s="6" t="n"/>
      <c r="J948" s="6" t="n"/>
      <c r="K948" s="6" t="n"/>
      <c r="L948" s="7">
        <f>IF(OR(G948="",J948="",I948=""),"",ABS(G948-J948)*I948)</f>
        <v/>
      </c>
      <c r="M948" s="7">
        <f>IF(OR(G948="",H948="",I948="",F948=""),"",IF(F948="Long",(H948-G948)*I948,(G948-H948)*I948))</f>
        <v/>
      </c>
      <c r="N948" s="6">
        <f>IF(OR(M948="",L948="",L948=0),"",M948/L948)</f>
        <v/>
      </c>
      <c r="O948">
        <f>IF(M948="","",IF(M948&gt;0,"Win",IF(M948&lt;0,"Loss","Scratch")))</f>
        <v/>
      </c>
    </row>
    <row r="949">
      <c r="A949" s="5" t="n"/>
      <c r="G949" s="6" t="n"/>
      <c r="H949" s="6" t="n"/>
      <c r="J949" s="6" t="n"/>
      <c r="K949" s="6" t="n"/>
      <c r="L949" s="7">
        <f>IF(OR(G949="",J949="",I949=""),"",ABS(G949-J949)*I949)</f>
        <v/>
      </c>
      <c r="M949" s="7">
        <f>IF(OR(G949="",H949="",I949="",F949=""),"",IF(F949="Long",(H949-G949)*I949,(G949-H949)*I949))</f>
        <v/>
      </c>
      <c r="N949" s="6">
        <f>IF(OR(M949="",L949="",L949=0),"",M949/L949)</f>
        <v/>
      </c>
      <c r="O949">
        <f>IF(M949="","",IF(M949&gt;0,"Win",IF(M949&lt;0,"Loss","Scratch")))</f>
        <v/>
      </c>
    </row>
    <row r="950">
      <c r="A950" s="5" t="n"/>
      <c r="G950" s="6" t="n"/>
      <c r="H950" s="6" t="n"/>
      <c r="J950" s="6" t="n"/>
      <c r="K950" s="6" t="n"/>
      <c r="L950" s="7">
        <f>IF(OR(G950="",J950="",I950=""),"",ABS(G950-J950)*I950)</f>
        <v/>
      </c>
      <c r="M950" s="7">
        <f>IF(OR(G950="",H950="",I950="",F950=""),"",IF(F950="Long",(H950-G950)*I950,(G950-H950)*I950))</f>
        <v/>
      </c>
      <c r="N950" s="6">
        <f>IF(OR(M950="",L950="",L950=0),"",M950/L950)</f>
        <v/>
      </c>
      <c r="O950">
        <f>IF(M950="","",IF(M950&gt;0,"Win",IF(M950&lt;0,"Loss","Scratch")))</f>
        <v/>
      </c>
    </row>
    <row r="951">
      <c r="A951" s="5" t="n"/>
      <c r="G951" s="6" t="n"/>
      <c r="H951" s="6" t="n"/>
      <c r="J951" s="6" t="n"/>
      <c r="K951" s="6" t="n"/>
      <c r="L951" s="7">
        <f>IF(OR(G951="",J951="",I951=""),"",ABS(G951-J951)*I951)</f>
        <v/>
      </c>
      <c r="M951" s="7">
        <f>IF(OR(G951="",H951="",I951="",F951=""),"",IF(F951="Long",(H951-G951)*I951,(G951-H951)*I951))</f>
        <v/>
      </c>
      <c r="N951" s="6">
        <f>IF(OR(M951="",L951="",L951=0),"",M951/L951)</f>
        <v/>
      </c>
      <c r="O951">
        <f>IF(M951="","",IF(M951&gt;0,"Win",IF(M951&lt;0,"Loss","Scratch")))</f>
        <v/>
      </c>
    </row>
    <row r="952">
      <c r="A952" s="5" t="n"/>
      <c r="G952" s="6" t="n"/>
      <c r="H952" s="6" t="n"/>
      <c r="J952" s="6" t="n"/>
      <c r="K952" s="6" t="n"/>
      <c r="L952" s="7">
        <f>IF(OR(G952="",J952="",I952=""),"",ABS(G952-J952)*I952)</f>
        <v/>
      </c>
      <c r="M952" s="7">
        <f>IF(OR(G952="",H952="",I952="",F952=""),"",IF(F952="Long",(H952-G952)*I952,(G952-H952)*I952))</f>
        <v/>
      </c>
      <c r="N952" s="6">
        <f>IF(OR(M952="",L952="",L952=0),"",M952/L952)</f>
        <v/>
      </c>
      <c r="O952">
        <f>IF(M952="","",IF(M952&gt;0,"Win",IF(M952&lt;0,"Loss","Scratch")))</f>
        <v/>
      </c>
    </row>
    <row r="953">
      <c r="A953" s="5" t="n"/>
      <c r="G953" s="6" t="n"/>
      <c r="H953" s="6" t="n"/>
      <c r="J953" s="6" t="n"/>
      <c r="K953" s="6" t="n"/>
      <c r="L953" s="7">
        <f>IF(OR(G953="",J953="",I953=""),"",ABS(G953-J953)*I953)</f>
        <v/>
      </c>
      <c r="M953" s="7">
        <f>IF(OR(G953="",H953="",I953="",F953=""),"",IF(F953="Long",(H953-G953)*I953,(G953-H953)*I953))</f>
        <v/>
      </c>
      <c r="N953" s="6">
        <f>IF(OR(M953="",L953="",L953=0),"",M953/L953)</f>
        <v/>
      </c>
      <c r="O953">
        <f>IF(M953="","",IF(M953&gt;0,"Win",IF(M953&lt;0,"Loss","Scratch")))</f>
        <v/>
      </c>
    </row>
    <row r="954">
      <c r="A954" s="5" t="n"/>
      <c r="G954" s="6" t="n"/>
      <c r="H954" s="6" t="n"/>
      <c r="J954" s="6" t="n"/>
      <c r="K954" s="6" t="n"/>
      <c r="L954" s="7">
        <f>IF(OR(G954="",J954="",I954=""),"",ABS(G954-J954)*I954)</f>
        <v/>
      </c>
      <c r="M954" s="7">
        <f>IF(OR(G954="",H954="",I954="",F954=""),"",IF(F954="Long",(H954-G954)*I954,(G954-H954)*I954))</f>
        <v/>
      </c>
      <c r="N954" s="6">
        <f>IF(OR(M954="",L954="",L954=0),"",M954/L954)</f>
        <v/>
      </c>
      <c r="O954">
        <f>IF(M954="","",IF(M954&gt;0,"Win",IF(M954&lt;0,"Loss","Scratch")))</f>
        <v/>
      </c>
    </row>
    <row r="955">
      <c r="A955" s="5" t="n"/>
      <c r="G955" s="6" t="n"/>
      <c r="H955" s="6" t="n"/>
      <c r="J955" s="6" t="n"/>
      <c r="K955" s="6" t="n"/>
      <c r="L955" s="7">
        <f>IF(OR(G955="",J955="",I955=""),"",ABS(G955-J955)*I955)</f>
        <v/>
      </c>
      <c r="M955" s="7">
        <f>IF(OR(G955="",H955="",I955="",F955=""),"",IF(F955="Long",(H955-G955)*I955,(G955-H955)*I955))</f>
        <v/>
      </c>
      <c r="N955" s="6">
        <f>IF(OR(M955="",L955="",L955=0),"",M955/L955)</f>
        <v/>
      </c>
      <c r="O955">
        <f>IF(M955="","",IF(M955&gt;0,"Win",IF(M955&lt;0,"Loss","Scratch")))</f>
        <v/>
      </c>
    </row>
    <row r="956">
      <c r="A956" s="5" t="n"/>
      <c r="G956" s="6" t="n"/>
      <c r="H956" s="6" t="n"/>
      <c r="J956" s="6" t="n"/>
      <c r="K956" s="6" t="n"/>
      <c r="L956" s="7">
        <f>IF(OR(G956="",J956="",I956=""),"",ABS(G956-J956)*I956)</f>
        <v/>
      </c>
      <c r="M956" s="7">
        <f>IF(OR(G956="",H956="",I956="",F956=""),"",IF(F956="Long",(H956-G956)*I956,(G956-H956)*I956))</f>
        <v/>
      </c>
      <c r="N956" s="6">
        <f>IF(OR(M956="",L956="",L956=0),"",M956/L956)</f>
        <v/>
      </c>
      <c r="O956">
        <f>IF(M956="","",IF(M956&gt;0,"Win",IF(M956&lt;0,"Loss","Scratch")))</f>
        <v/>
      </c>
    </row>
    <row r="957">
      <c r="A957" s="5" t="n"/>
      <c r="G957" s="6" t="n"/>
      <c r="H957" s="6" t="n"/>
      <c r="J957" s="6" t="n"/>
      <c r="K957" s="6" t="n"/>
      <c r="L957" s="7">
        <f>IF(OR(G957="",J957="",I957=""),"",ABS(G957-J957)*I957)</f>
        <v/>
      </c>
      <c r="M957" s="7">
        <f>IF(OR(G957="",H957="",I957="",F957=""),"",IF(F957="Long",(H957-G957)*I957,(G957-H957)*I957))</f>
        <v/>
      </c>
      <c r="N957" s="6">
        <f>IF(OR(M957="",L957="",L957=0),"",M957/L957)</f>
        <v/>
      </c>
      <c r="O957">
        <f>IF(M957="","",IF(M957&gt;0,"Win",IF(M957&lt;0,"Loss","Scratch")))</f>
        <v/>
      </c>
    </row>
    <row r="958">
      <c r="A958" s="5" t="n"/>
      <c r="G958" s="6" t="n"/>
      <c r="H958" s="6" t="n"/>
      <c r="J958" s="6" t="n"/>
      <c r="K958" s="6" t="n"/>
      <c r="L958" s="7">
        <f>IF(OR(G958="",J958="",I958=""),"",ABS(G958-J958)*I958)</f>
        <v/>
      </c>
      <c r="M958" s="7">
        <f>IF(OR(G958="",H958="",I958="",F958=""),"",IF(F958="Long",(H958-G958)*I958,(G958-H958)*I958))</f>
        <v/>
      </c>
      <c r="N958" s="6">
        <f>IF(OR(M958="",L958="",L958=0),"",M958/L958)</f>
        <v/>
      </c>
      <c r="O958">
        <f>IF(M958="","",IF(M958&gt;0,"Win",IF(M958&lt;0,"Loss","Scratch")))</f>
        <v/>
      </c>
    </row>
    <row r="959">
      <c r="A959" s="5" t="n"/>
      <c r="G959" s="6" t="n"/>
      <c r="H959" s="6" t="n"/>
      <c r="J959" s="6" t="n"/>
      <c r="K959" s="6" t="n"/>
      <c r="L959" s="7">
        <f>IF(OR(G959="",J959="",I959=""),"",ABS(G959-J959)*I959)</f>
        <v/>
      </c>
      <c r="M959" s="7">
        <f>IF(OR(G959="",H959="",I959="",F959=""),"",IF(F959="Long",(H959-G959)*I959,(G959-H959)*I959))</f>
        <v/>
      </c>
      <c r="N959" s="6">
        <f>IF(OR(M959="",L959="",L959=0),"",M959/L959)</f>
        <v/>
      </c>
      <c r="O959">
        <f>IF(M959="","",IF(M959&gt;0,"Win",IF(M959&lt;0,"Loss","Scratch")))</f>
        <v/>
      </c>
    </row>
    <row r="960">
      <c r="A960" s="5" t="n"/>
      <c r="G960" s="6" t="n"/>
      <c r="H960" s="6" t="n"/>
      <c r="J960" s="6" t="n"/>
      <c r="K960" s="6" t="n"/>
      <c r="L960" s="7">
        <f>IF(OR(G960="",J960="",I960=""),"",ABS(G960-J960)*I960)</f>
        <v/>
      </c>
      <c r="M960" s="7">
        <f>IF(OR(G960="",H960="",I960="",F960=""),"",IF(F960="Long",(H960-G960)*I960,(G960-H960)*I960))</f>
        <v/>
      </c>
      <c r="N960" s="6">
        <f>IF(OR(M960="",L960="",L960=0),"",M960/L960)</f>
        <v/>
      </c>
      <c r="O960">
        <f>IF(M960="","",IF(M960&gt;0,"Win",IF(M960&lt;0,"Loss","Scratch")))</f>
        <v/>
      </c>
    </row>
    <row r="961">
      <c r="A961" s="5" t="n"/>
      <c r="G961" s="6" t="n"/>
      <c r="H961" s="6" t="n"/>
      <c r="J961" s="6" t="n"/>
      <c r="K961" s="6" t="n"/>
      <c r="L961" s="7">
        <f>IF(OR(G961="",J961="",I961=""),"",ABS(G961-J961)*I961)</f>
        <v/>
      </c>
      <c r="M961" s="7">
        <f>IF(OR(G961="",H961="",I961="",F961=""),"",IF(F961="Long",(H961-G961)*I961,(G961-H961)*I961))</f>
        <v/>
      </c>
      <c r="N961" s="6">
        <f>IF(OR(M961="",L961="",L961=0),"",M961/L961)</f>
        <v/>
      </c>
      <c r="O961">
        <f>IF(M961="","",IF(M961&gt;0,"Win",IF(M961&lt;0,"Loss","Scratch")))</f>
        <v/>
      </c>
    </row>
    <row r="962">
      <c r="A962" s="5" t="n"/>
      <c r="G962" s="6" t="n"/>
      <c r="H962" s="6" t="n"/>
      <c r="J962" s="6" t="n"/>
      <c r="K962" s="6" t="n"/>
      <c r="L962" s="7">
        <f>IF(OR(G962="",J962="",I962=""),"",ABS(G962-J962)*I962)</f>
        <v/>
      </c>
      <c r="M962" s="7">
        <f>IF(OR(G962="",H962="",I962="",F962=""),"",IF(F962="Long",(H962-G962)*I962,(G962-H962)*I962))</f>
        <v/>
      </c>
      <c r="N962" s="6">
        <f>IF(OR(M962="",L962="",L962=0),"",M962/L962)</f>
        <v/>
      </c>
      <c r="O962">
        <f>IF(M962="","",IF(M962&gt;0,"Win",IF(M962&lt;0,"Loss","Scratch")))</f>
        <v/>
      </c>
    </row>
    <row r="963">
      <c r="A963" s="5" t="n"/>
      <c r="G963" s="6" t="n"/>
      <c r="H963" s="6" t="n"/>
      <c r="J963" s="6" t="n"/>
      <c r="K963" s="6" t="n"/>
      <c r="L963" s="7">
        <f>IF(OR(G963="",J963="",I963=""),"",ABS(G963-J963)*I963)</f>
        <v/>
      </c>
      <c r="M963" s="7">
        <f>IF(OR(G963="",H963="",I963="",F963=""),"",IF(F963="Long",(H963-G963)*I963,(G963-H963)*I963))</f>
        <v/>
      </c>
      <c r="N963" s="6">
        <f>IF(OR(M963="",L963="",L963=0),"",M963/L963)</f>
        <v/>
      </c>
      <c r="O963">
        <f>IF(M963="","",IF(M963&gt;0,"Win",IF(M963&lt;0,"Loss","Scratch")))</f>
        <v/>
      </c>
    </row>
    <row r="964">
      <c r="A964" s="5" t="n"/>
      <c r="G964" s="6" t="n"/>
      <c r="H964" s="6" t="n"/>
      <c r="J964" s="6" t="n"/>
      <c r="K964" s="6" t="n"/>
      <c r="L964" s="7">
        <f>IF(OR(G964="",J964="",I964=""),"",ABS(G964-J964)*I964)</f>
        <v/>
      </c>
      <c r="M964" s="7">
        <f>IF(OR(G964="",H964="",I964="",F964=""),"",IF(F964="Long",(H964-G964)*I964,(G964-H964)*I964))</f>
        <v/>
      </c>
      <c r="N964" s="6">
        <f>IF(OR(M964="",L964="",L964=0),"",M964/L964)</f>
        <v/>
      </c>
      <c r="O964">
        <f>IF(M964="","",IF(M964&gt;0,"Win",IF(M964&lt;0,"Loss","Scratch")))</f>
        <v/>
      </c>
    </row>
    <row r="965">
      <c r="A965" s="5" t="n"/>
      <c r="G965" s="6" t="n"/>
      <c r="H965" s="6" t="n"/>
      <c r="J965" s="6" t="n"/>
      <c r="K965" s="6" t="n"/>
      <c r="L965" s="7">
        <f>IF(OR(G965="",J965="",I965=""),"",ABS(G965-J965)*I965)</f>
        <v/>
      </c>
      <c r="M965" s="7">
        <f>IF(OR(G965="",H965="",I965="",F965=""),"",IF(F965="Long",(H965-G965)*I965,(G965-H965)*I965))</f>
        <v/>
      </c>
      <c r="N965" s="6">
        <f>IF(OR(M965="",L965="",L965=0),"",M965/L965)</f>
        <v/>
      </c>
      <c r="O965">
        <f>IF(M965="","",IF(M965&gt;0,"Win",IF(M965&lt;0,"Loss","Scratch")))</f>
        <v/>
      </c>
    </row>
    <row r="966">
      <c r="A966" s="5" t="n"/>
      <c r="G966" s="6" t="n"/>
      <c r="H966" s="6" t="n"/>
      <c r="J966" s="6" t="n"/>
      <c r="K966" s="6" t="n"/>
      <c r="L966" s="7">
        <f>IF(OR(G966="",J966="",I966=""),"",ABS(G966-J966)*I966)</f>
        <v/>
      </c>
      <c r="M966" s="7">
        <f>IF(OR(G966="",H966="",I966="",F966=""),"",IF(F966="Long",(H966-G966)*I966,(G966-H966)*I966))</f>
        <v/>
      </c>
      <c r="N966" s="6">
        <f>IF(OR(M966="",L966="",L966=0),"",M966/L966)</f>
        <v/>
      </c>
      <c r="O966">
        <f>IF(M966="","",IF(M966&gt;0,"Win",IF(M966&lt;0,"Loss","Scratch")))</f>
        <v/>
      </c>
    </row>
    <row r="967">
      <c r="A967" s="5" t="n"/>
      <c r="G967" s="6" t="n"/>
      <c r="H967" s="6" t="n"/>
      <c r="J967" s="6" t="n"/>
      <c r="K967" s="6" t="n"/>
      <c r="L967" s="7">
        <f>IF(OR(G967="",J967="",I967=""),"",ABS(G967-J967)*I967)</f>
        <v/>
      </c>
      <c r="M967" s="7">
        <f>IF(OR(G967="",H967="",I967="",F967=""),"",IF(F967="Long",(H967-G967)*I967,(G967-H967)*I967))</f>
        <v/>
      </c>
      <c r="N967" s="6">
        <f>IF(OR(M967="",L967="",L967=0),"",M967/L967)</f>
        <v/>
      </c>
      <c r="O967">
        <f>IF(M967="","",IF(M967&gt;0,"Win",IF(M967&lt;0,"Loss","Scratch")))</f>
        <v/>
      </c>
    </row>
    <row r="968">
      <c r="A968" s="5" t="n"/>
      <c r="G968" s="6" t="n"/>
      <c r="H968" s="6" t="n"/>
      <c r="J968" s="6" t="n"/>
      <c r="K968" s="6" t="n"/>
      <c r="L968" s="7">
        <f>IF(OR(G968="",J968="",I968=""),"",ABS(G968-J968)*I968)</f>
        <v/>
      </c>
      <c r="M968" s="7">
        <f>IF(OR(G968="",H968="",I968="",F968=""),"",IF(F968="Long",(H968-G968)*I968,(G968-H968)*I968))</f>
        <v/>
      </c>
      <c r="N968" s="6">
        <f>IF(OR(M968="",L968="",L968=0),"",M968/L968)</f>
        <v/>
      </c>
      <c r="O968">
        <f>IF(M968="","",IF(M968&gt;0,"Win",IF(M968&lt;0,"Loss","Scratch")))</f>
        <v/>
      </c>
    </row>
    <row r="969">
      <c r="A969" s="5" t="n"/>
      <c r="G969" s="6" t="n"/>
      <c r="H969" s="6" t="n"/>
      <c r="J969" s="6" t="n"/>
      <c r="K969" s="6" t="n"/>
      <c r="L969" s="7">
        <f>IF(OR(G969="",J969="",I969=""),"",ABS(G969-J969)*I969)</f>
        <v/>
      </c>
      <c r="M969" s="7">
        <f>IF(OR(G969="",H969="",I969="",F969=""),"",IF(F969="Long",(H969-G969)*I969,(G969-H969)*I969))</f>
        <v/>
      </c>
      <c r="N969" s="6">
        <f>IF(OR(M969="",L969="",L969=0),"",M969/L969)</f>
        <v/>
      </c>
      <c r="O969">
        <f>IF(M969="","",IF(M969&gt;0,"Win",IF(M969&lt;0,"Loss","Scratch")))</f>
        <v/>
      </c>
    </row>
    <row r="970">
      <c r="A970" s="5" t="n"/>
      <c r="G970" s="6" t="n"/>
      <c r="H970" s="6" t="n"/>
      <c r="J970" s="6" t="n"/>
      <c r="K970" s="6" t="n"/>
      <c r="L970" s="7">
        <f>IF(OR(G970="",J970="",I970=""),"",ABS(G970-J970)*I970)</f>
        <v/>
      </c>
      <c r="M970" s="7">
        <f>IF(OR(G970="",H970="",I970="",F970=""),"",IF(F970="Long",(H970-G970)*I970,(G970-H970)*I970))</f>
        <v/>
      </c>
      <c r="N970" s="6">
        <f>IF(OR(M970="",L970="",L970=0),"",M970/L970)</f>
        <v/>
      </c>
      <c r="O970">
        <f>IF(M970="","",IF(M970&gt;0,"Win",IF(M970&lt;0,"Loss","Scratch")))</f>
        <v/>
      </c>
    </row>
    <row r="971">
      <c r="A971" s="5" t="n"/>
      <c r="G971" s="6" t="n"/>
      <c r="H971" s="6" t="n"/>
      <c r="J971" s="6" t="n"/>
      <c r="K971" s="6" t="n"/>
      <c r="L971" s="7">
        <f>IF(OR(G971="",J971="",I971=""),"",ABS(G971-J971)*I971)</f>
        <v/>
      </c>
      <c r="M971" s="7">
        <f>IF(OR(G971="",H971="",I971="",F971=""),"",IF(F971="Long",(H971-G971)*I971,(G971-H971)*I971))</f>
        <v/>
      </c>
      <c r="N971" s="6">
        <f>IF(OR(M971="",L971="",L971=0),"",M971/L971)</f>
        <v/>
      </c>
      <c r="O971">
        <f>IF(M971="","",IF(M971&gt;0,"Win",IF(M971&lt;0,"Loss","Scratch")))</f>
        <v/>
      </c>
    </row>
    <row r="972">
      <c r="A972" s="5" t="n"/>
      <c r="G972" s="6" t="n"/>
      <c r="H972" s="6" t="n"/>
      <c r="J972" s="6" t="n"/>
      <c r="K972" s="6" t="n"/>
      <c r="L972" s="7">
        <f>IF(OR(G972="",J972="",I972=""),"",ABS(G972-J972)*I972)</f>
        <v/>
      </c>
      <c r="M972" s="7">
        <f>IF(OR(G972="",H972="",I972="",F972=""),"",IF(F972="Long",(H972-G972)*I972,(G972-H972)*I972))</f>
        <v/>
      </c>
      <c r="N972" s="6">
        <f>IF(OR(M972="",L972="",L972=0),"",M972/L972)</f>
        <v/>
      </c>
      <c r="O972">
        <f>IF(M972="","",IF(M972&gt;0,"Win",IF(M972&lt;0,"Loss","Scratch")))</f>
        <v/>
      </c>
    </row>
    <row r="973">
      <c r="A973" s="5" t="n"/>
      <c r="G973" s="6" t="n"/>
      <c r="H973" s="6" t="n"/>
      <c r="J973" s="6" t="n"/>
      <c r="K973" s="6" t="n"/>
      <c r="L973" s="7">
        <f>IF(OR(G973="",J973="",I973=""),"",ABS(G973-J973)*I973)</f>
        <v/>
      </c>
      <c r="M973" s="7">
        <f>IF(OR(G973="",H973="",I973="",F973=""),"",IF(F973="Long",(H973-G973)*I973,(G973-H973)*I973))</f>
        <v/>
      </c>
      <c r="N973" s="6">
        <f>IF(OR(M973="",L973="",L973=0),"",M973/L973)</f>
        <v/>
      </c>
      <c r="O973">
        <f>IF(M973="","",IF(M973&gt;0,"Win",IF(M973&lt;0,"Loss","Scratch")))</f>
        <v/>
      </c>
    </row>
    <row r="974">
      <c r="A974" s="5" t="n"/>
      <c r="G974" s="6" t="n"/>
      <c r="H974" s="6" t="n"/>
      <c r="J974" s="6" t="n"/>
      <c r="K974" s="6" t="n"/>
      <c r="L974" s="7">
        <f>IF(OR(G974="",J974="",I974=""),"",ABS(G974-J974)*I974)</f>
        <v/>
      </c>
      <c r="M974" s="7">
        <f>IF(OR(G974="",H974="",I974="",F974=""),"",IF(F974="Long",(H974-G974)*I974,(G974-H974)*I974))</f>
        <v/>
      </c>
      <c r="N974" s="6">
        <f>IF(OR(M974="",L974="",L974=0),"",M974/L974)</f>
        <v/>
      </c>
      <c r="O974">
        <f>IF(M974="","",IF(M974&gt;0,"Win",IF(M974&lt;0,"Loss","Scratch")))</f>
        <v/>
      </c>
    </row>
    <row r="975">
      <c r="A975" s="5" t="n"/>
      <c r="G975" s="6" t="n"/>
      <c r="H975" s="6" t="n"/>
      <c r="J975" s="6" t="n"/>
      <c r="K975" s="6" t="n"/>
      <c r="L975" s="7">
        <f>IF(OR(G975="",J975="",I975=""),"",ABS(G975-J975)*I975)</f>
        <v/>
      </c>
      <c r="M975" s="7">
        <f>IF(OR(G975="",H975="",I975="",F975=""),"",IF(F975="Long",(H975-G975)*I975,(G975-H975)*I975))</f>
        <v/>
      </c>
      <c r="N975" s="6">
        <f>IF(OR(M975="",L975="",L975=0),"",M975/L975)</f>
        <v/>
      </c>
      <c r="O975">
        <f>IF(M975="","",IF(M975&gt;0,"Win",IF(M975&lt;0,"Loss","Scratch")))</f>
        <v/>
      </c>
    </row>
    <row r="976">
      <c r="A976" s="5" t="n"/>
      <c r="G976" s="6" t="n"/>
      <c r="H976" s="6" t="n"/>
      <c r="J976" s="6" t="n"/>
      <c r="K976" s="6" t="n"/>
      <c r="L976" s="7">
        <f>IF(OR(G976="",J976="",I976=""),"",ABS(G976-J976)*I976)</f>
        <v/>
      </c>
      <c r="M976" s="7">
        <f>IF(OR(G976="",H976="",I976="",F976=""),"",IF(F976="Long",(H976-G976)*I976,(G976-H976)*I976))</f>
        <v/>
      </c>
      <c r="N976" s="6">
        <f>IF(OR(M976="",L976="",L976=0),"",M976/L976)</f>
        <v/>
      </c>
      <c r="O976">
        <f>IF(M976="","",IF(M976&gt;0,"Win",IF(M976&lt;0,"Loss","Scratch")))</f>
        <v/>
      </c>
    </row>
    <row r="977">
      <c r="A977" s="5" t="n"/>
      <c r="G977" s="6" t="n"/>
      <c r="H977" s="6" t="n"/>
      <c r="J977" s="6" t="n"/>
      <c r="K977" s="6" t="n"/>
      <c r="L977" s="7">
        <f>IF(OR(G977="",J977="",I977=""),"",ABS(G977-J977)*I977)</f>
        <v/>
      </c>
      <c r="M977" s="7">
        <f>IF(OR(G977="",H977="",I977="",F977=""),"",IF(F977="Long",(H977-G977)*I977,(G977-H977)*I977))</f>
        <v/>
      </c>
      <c r="N977" s="6">
        <f>IF(OR(M977="",L977="",L977=0),"",M977/L977)</f>
        <v/>
      </c>
      <c r="O977">
        <f>IF(M977="","",IF(M977&gt;0,"Win",IF(M977&lt;0,"Loss","Scratch")))</f>
        <v/>
      </c>
    </row>
    <row r="978">
      <c r="A978" s="5" t="n"/>
      <c r="G978" s="6" t="n"/>
      <c r="H978" s="6" t="n"/>
      <c r="J978" s="6" t="n"/>
      <c r="K978" s="6" t="n"/>
      <c r="L978" s="7">
        <f>IF(OR(G978="",J978="",I978=""),"",ABS(G978-J978)*I978)</f>
        <v/>
      </c>
      <c r="M978" s="7">
        <f>IF(OR(G978="",H978="",I978="",F978=""),"",IF(F978="Long",(H978-G978)*I978,(G978-H978)*I978))</f>
        <v/>
      </c>
      <c r="N978" s="6">
        <f>IF(OR(M978="",L978="",L978=0),"",M978/L978)</f>
        <v/>
      </c>
      <c r="O978">
        <f>IF(M978="","",IF(M978&gt;0,"Win",IF(M978&lt;0,"Loss","Scratch")))</f>
        <v/>
      </c>
    </row>
    <row r="979">
      <c r="A979" s="5" t="n"/>
      <c r="G979" s="6" t="n"/>
      <c r="H979" s="6" t="n"/>
      <c r="J979" s="6" t="n"/>
      <c r="K979" s="6" t="n"/>
      <c r="L979" s="7">
        <f>IF(OR(G979="",J979="",I979=""),"",ABS(G979-J979)*I979)</f>
        <v/>
      </c>
      <c r="M979" s="7">
        <f>IF(OR(G979="",H979="",I979="",F979=""),"",IF(F979="Long",(H979-G979)*I979,(G979-H979)*I979))</f>
        <v/>
      </c>
      <c r="N979" s="6">
        <f>IF(OR(M979="",L979="",L979=0),"",M979/L979)</f>
        <v/>
      </c>
      <c r="O979">
        <f>IF(M979="","",IF(M979&gt;0,"Win",IF(M979&lt;0,"Loss","Scratch")))</f>
        <v/>
      </c>
    </row>
    <row r="980">
      <c r="A980" s="5" t="n"/>
      <c r="G980" s="6" t="n"/>
      <c r="H980" s="6" t="n"/>
      <c r="J980" s="6" t="n"/>
      <c r="K980" s="6" t="n"/>
      <c r="L980" s="7">
        <f>IF(OR(G980="",J980="",I980=""),"",ABS(G980-J980)*I980)</f>
        <v/>
      </c>
      <c r="M980" s="7">
        <f>IF(OR(G980="",H980="",I980="",F980=""),"",IF(F980="Long",(H980-G980)*I980,(G980-H980)*I980))</f>
        <v/>
      </c>
      <c r="N980" s="6">
        <f>IF(OR(M980="",L980="",L980=0),"",M980/L980)</f>
        <v/>
      </c>
      <c r="O980">
        <f>IF(M980="","",IF(M980&gt;0,"Win",IF(M980&lt;0,"Loss","Scratch")))</f>
        <v/>
      </c>
    </row>
    <row r="981">
      <c r="A981" s="5" t="n"/>
      <c r="G981" s="6" t="n"/>
      <c r="H981" s="6" t="n"/>
      <c r="J981" s="6" t="n"/>
      <c r="K981" s="6" t="n"/>
      <c r="L981" s="7">
        <f>IF(OR(G981="",J981="",I981=""),"",ABS(G981-J981)*I981)</f>
        <v/>
      </c>
      <c r="M981" s="7">
        <f>IF(OR(G981="",H981="",I981="",F981=""),"",IF(F981="Long",(H981-G981)*I981,(G981-H981)*I981))</f>
        <v/>
      </c>
      <c r="N981" s="6">
        <f>IF(OR(M981="",L981="",L981=0),"",M981/L981)</f>
        <v/>
      </c>
      <c r="O981">
        <f>IF(M981="","",IF(M981&gt;0,"Win",IF(M981&lt;0,"Loss","Scratch")))</f>
        <v/>
      </c>
    </row>
    <row r="982">
      <c r="A982" s="5" t="n"/>
      <c r="G982" s="6" t="n"/>
      <c r="H982" s="6" t="n"/>
      <c r="J982" s="6" t="n"/>
      <c r="K982" s="6" t="n"/>
      <c r="L982" s="7">
        <f>IF(OR(G982="",J982="",I982=""),"",ABS(G982-J982)*I982)</f>
        <v/>
      </c>
      <c r="M982" s="7">
        <f>IF(OR(G982="",H982="",I982="",F982=""),"",IF(F982="Long",(H982-G982)*I982,(G982-H982)*I982))</f>
        <v/>
      </c>
      <c r="N982" s="6">
        <f>IF(OR(M982="",L982="",L982=0),"",M982/L982)</f>
        <v/>
      </c>
      <c r="O982">
        <f>IF(M982="","",IF(M982&gt;0,"Win",IF(M982&lt;0,"Loss","Scratch")))</f>
        <v/>
      </c>
    </row>
    <row r="983">
      <c r="A983" s="5" t="n"/>
      <c r="G983" s="6" t="n"/>
      <c r="H983" s="6" t="n"/>
      <c r="J983" s="6" t="n"/>
      <c r="K983" s="6" t="n"/>
      <c r="L983" s="7">
        <f>IF(OR(G983="",J983="",I983=""),"",ABS(G983-J983)*I983)</f>
        <v/>
      </c>
      <c r="M983" s="7">
        <f>IF(OR(G983="",H983="",I983="",F983=""),"",IF(F983="Long",(H983-G983)*I983,(G983-H983)*I983))</f>
        <v/>
      </c>
      <c r="N983" s="6">
        <f>IF(OR(M983="",L983="",L983=0),"",M983/L983)</f>
        <v/>
      </c>
      <c r="O983">
        <f>IF(M983="","",IF(M983&gt;0,"Win",IF(M983&lt;0,"Loss","Scratch")))</f>
        <v/>
      </c>
    </row>
    <row r="984">
      <c r="A984" s="5" t="n"/>
      <c r="G984" s="6" t="n"/>
      <c r="H984" s="6" t="n"/>
      <c r="J984" s="6" t="n"/>
      <c r="K984" s="6" t="n"/>
      <c r="L984" s="7">
        <f>IF(OR(G984="",J984="",I984=""),"",ABS(G984-J984)*I984)</f>
        <v/>
      </c>
      <c r="M984" s="7">
        <f>IF(OR(G984="",H984="",I984="",F984=""),"",IF(F984="Long",(H984-G984)*I984,(G984-H984)*I984))</f>
        <v/>
      </c>
      <c r="N984" s="6">
        <f>IF(OR(M984="",L984="",L984=0),"",M984/L984)</f>
        <v/>
      </c>
      <c r="O984">
        <f>IF(M984="","",IF(M984&gt;0,"Win",IF(M984&lt;0,"Loss","Scratch")))</f>
        <v/>
      </c>
    </row>
    <row r="985">
      <c r="A985" s="5" t="n"/>
      <c r="G985" s="6" t="n"/>
      <c r="H985" s="6" t="n"/>
      <c r="J985" s="6" t="n"/>
      <c r="K985" s="6" t="n"/>
      <c r="L985" s="7">
        <f>IF(OR(G985="",J985="",I985=""),"",ABS(G985-J985)*I985)</f>
        <v/>
      </c>
      <c r="M985" s="7">
        <f>IF(OR(G985="",H985="",I985="",F985=""),"",IF(F985="Long",(H985-G985)*I985,(G985-H985)*I985))</f>
        <v/>
      </c>
      <c r="N985" s="6">
        <f>IF(OR(M985="",L985="",L985=0),"",M985/L985)</f>
        <v/>
      </c>
      <c r="O985">
        <f>IF(M985="","",IF(M985&gt;0,"Win",IF(M985&lt;0,"Loss","Scratch")))</f>
        <v/>
      </c>
    </row>
    <row r="986">
      <c r="A986" s="5" t="n"/>
      <c r="G986" s="6" t="n"/>
      <c r="H986" s="6" t="n"/>
      <c r="J986" s="6" t="n"/>
      <c r="K986" s="6" t="n"/>
      <c r="L986" s="7">
        <f>IF(OR(G986="",J986="",I986=""),"",ABS(G986-J986)*I986)</f>
        <v/>
      </c>
      <c r="M986" s="7">
        <f>IF(OR(G986="",H986="",I986="",F986=""),"",IF(F986="Long",(H986-G986)*I986,(G986-H986)*I986))</f>
        <v/>
      </c>
      <c r="N986" s="6">
        <f>IF(OR(M986="",L986="",L986=0),"",M986/L986)</f>
        <v/>
      </c>
      <c r="O986">
        <f>IF(M986="","",IF(M986&gt;0,"Win",IF(M986&lt;0,"Loss","Scratch")))</f>
        <v/>
      </c>
    </row>
    <row r="987">
      <c r="A987" s="5" t="n"/>
      <c r="G987" s="6" t="n"/>
      <c r="H987" s="6" t="n"/>
      <c r="J987" s="6" t="n"/>
      <c r="K987" s="6" t="n"/>
      <c r="L987" s="7">
        <f>IF(OR(G987="",J987="",I987=""),"",ABS(G987-J987)*I987)</f>
        <v/>
      </c>
      <c r="M987" s="7">
        <f>IF(OR(G987="",H987="",I987="",F987=""),"",IF(F987="Long",(H987-G987)*I987,(G987-H987)*I987))</f>
        <v/>
      </c>
      <c r="N987" s="6">
        <f>IF(OR(M987="",L987="",L987=0),"",M987/L987)</f>
        <v/>
      </c>
      <c r="O987">
        <f>IF(M987="","",IF(M987&gt;0,"Win",IF(M987&lt;0,"Loss","Scratch")))</f>
        <v/>
      </c>
    </row>
    <row r="988">
      <c r="A988" s="5" t="n"/>
      <c r="G988" s="6" t="n"/>
      <c r="H988" s="6" t="n"/>
      <c r="J988" s="6" t="n"/>
      <c r="K988" s="6" t="n"/>
      <c r="L988" s="7">
        <f>IF(OR(G988="",J988="",I988=""),"",ABS(G988-J988)*I988)</f>
        <v/>
      </c>
      <c r="M988" s="7">
        <f>IF(OR(G988="",H988="",I988="",F988=""),"",IF(F988="Long",(H988-G988)*I988,(G988-H988)*I988))</f>
        <v/>
      </c>
      <c r="N988" s="6">
        <f>IF(OR(M988="",L988="",L988=0),"",M988/L988)</f>
        <v/>
      </c>
      <c r="O988">
        <f>IF(M988="","",IF(M988&gt;0,"Win",IF(M988&lt;0,"Loss","Scratch")))</f>
        <v/>
      </c>
    </row>
    <row r="989">
      <c r="A989" s="5" t="n"/>
      <c r="G989" s="6" t="n"/>
      <c r="H989" s="6" t="n"/>
      <c r="J989" s="6" t="n"/>
      <c r="K989" s="6" t="n"/>
      <c r="L989" s="7">
        <f>IF(OR(G989="",J989="",I989=""),"",ABS(G989-J989)*I989)</f>
        <v/>
      </c>
      <c r="M989" s="7">
        <f>IF(OR(G989="",H989="",I989="",F989=""),"",IF(F989="Long",(H989-G989)*I989,(G989-H989)*I989))</f>
        <v/>
      </c>
      <c r="N989" s="6">
        <f>IF(OR(M989="",L989="",L989=0),"",M989/L989)</f>
        <v/>
      </c>
      <c r="O989">
        <f>IF(M989="","",IF(M989&gt;0,"Win",IF(M989&lt;0,"Loss","Scratch")))</f>
        <v/>
      </c>
    </row>
    <row r="990">
      <c r="A990" s="5" t="n"/>
      <c r="G990" s="6" t="n"/>
      <c r="H990" s="6" t="n"/>
      <c r="J990" s="6" t="n"/>
      <c r="K990" s="6" t="n"/>
      <c r="L990" s="7">
        <f>IF(OR(G990="",J990="",I990=""),"",ABS(G990-J990)*I990)</f>
        <v/>
      </c>
      <c r="M990" s="7">
        <f>IF(OR(G990="",H990="",I990="",F990=""),"",IF(F990="Long",(H990-G990)*I990,(G990-H990)*I990))</f>
        <v/>
      </c>
      <c r="N990" s="6">
        <f>IF(OR(M990="",L990="",L990=0),"",M990/L990)</f>
        <v/>
      </c>
      <c r="O990">
        <f>IF(M990="","",IF(M990&gt;0,"Win",IF(M990&lt;0,"Loss","Scratch")))</f>
        <v/>
      </c>
    </row>
    <row r="991">
      <c r="A991" s="5" t="n"/>
      <c r="G991" s="6" t="n"/>
      <c r="H991" s="6" t="n"/>
      <c r="J991" s="6" t="n"/>
      <c r="K991" s="6" t="n"/>
      <c r="L991" s="7">
        <f>IF(OR(G991="",J991="",I991=""),"",ABS(G991-J991)*I991)</f>
        <v/>
      </c>
      <c r="M991" s="7">
        <f>IF(OR(G991="",H991="",I991="",F991=""),"",IF(F991="Long",(H991-G991)*I991,(G991-H991)*I991))</f>
        <v/>
      </c>
      <c r="N991" s="6">
        <f>IF(OR(M991="",L991="",L991=0),"",M991/L991)</f>
        <v/>
      </c>
      <c r="O991">
        <f>IF(M991="","",IF(M991&gt;0,"Win",IF(M991&lt;0,"Loss","Scratch")))</f>
        <v/>
      </c>
    </row>
    <row r="992">
      <c r="A992" s="5" t="n"/>
      <c r="G992" s="6" t="n"/>
      <c r="H992" s="6" t="n"/>
      <c r="J992" s="6" t="n"/>
      <c r="K992" s="6" t="n"/>
      <c r="L992" s="7">
        <f>IF(OR(G992="",J992="",I992=""),"",ABS(G992-J992)*I992)</f>
        <v/>
      </c>
      <c r="M992" s="7">
        <f>IF(OR(G992="",H992="",I992="",F992=""),"",IF(F992="Long",(H992-G992)*I992,(G992-H992)*I992))</f>
        <v/>
      </c>
      <c r="N992" s="6">
        <f>IF(OR(M992="",L992="",L992=0),"",M992/L992)</f>
        <v/>
      </c>
      <c r="O992">
        <f>IF(M992="","",IF(M992&gt;0,"Win",IF(M992&lt;0,"Loss","Scratch")))</f>
        <v/>
      </c>
    </row>
    <row r="993">
      <c r="A993" s="5" t="n"/>
      <c r="G993" s="6" t="n"/>
      <c r="H993" s="6" t="n"/>
      <c r="J993" s="6" t="n"/>
      <c r="K993" s="6" t="n"/>
      <c r="L993" s="7">
        <f>IF(OR(G993="",J993="",I993=""),"",ABS(G993-J993)*I993)</f>
        <v/>
      </c>
      <c r="M993" s="7">
        <f>IF(OR(G993="",H993="",I993="",F993=""),"",IF(F993="Long",(H993-G993)*I993,(G993-H993)*I993))</f>
        <v/>
      </c>
      <c r="N993" s="6">
        <f>IF(OR(M993="",L993="",L993=0),"",M993/L993)</f>
        <v/>
      </c>
      <c r="O993">
        <f>IF(M993="","",IF(M993&gt;0,"Win",IF(M993&lt;0,"Loss","Scratch")))</f>
        <v/>
      </c>
    </row>
    <row r="994">
      <c r="A994" s="5" t="n"/>
      <c r="G994" s="6" t="n"/>
      <c r="H994" s="6" t="n"/>
      <c r="J994" s="6" t="n"/>
      <c r="K994" s="6" t="n"/>
      <c r="L994" s="7">
        <f>IF(OR(G994="",J994="",I994=""),"",ABS(G994-J994)*I994)</f>
        <v/>
      </c>
      <c r="M994" s="7">
        <f>IF(OR(G994="",H994="",I994="",F994=""),"",IF(F994="Long",(H994-G994)*I994,(G994-H994)*I994))</f>
        <v/>
      </c>
      <c r="N994" s="6">
        <f>IF(OR(M994="",L994="",L994=0),"",M994/L994)</f>
        <v/>
      </c>
      <c r="O994">
        <f>IF(M994="","",IF(M994&gt;0,"Win",IF(M994&lt;0,"Loss","Scratch")))</f>
        <v/>
      </c>
    </row>
    <row r="995">
      <c r="A995" s="5" t="n"/>
      <c r="G995" s="6" t="n"/>
      <c r="H995" s="6" t="n"/>
      <c r="J995" s="6" t="n"/>
      <c r="K995" s="6" t="n"/>
      <c r="L995" s="7">
        <f>IF(OR(G995="",J995="",I995=""),"",ABS(G995-J995)*I995)</f>
        <v/>
      </c>
      <c r="M995" s="7">
        <f>IF(OR(G995="",H995="",I995="",F995=""),"",IF(F995="Long",(H995-G995)*I995,(G995-H995)*I995))</f>
        <v/>
      </c>
      <c r="N995" s="6">
        <f>IF(OR(M995="",L995="",L995=0),"",M995/L995)</f>
        <v/>
      </c>
      <c r="O995">
        <f>IF(M995="","",IF(M995&gt;0,"Win",IF(M995&lt;0,"Loss","Scratch")))</f>
        <v/>
      </c>
    </row>
    <row r="996">
      <c r="A996" s="5" t="n"/>
      <c r="G996" s="6" t="n"/>
      <c r="H996" s="6" t="n"/>
      <c r="J996" s="6" t="n"/>
      <c r="K996" s="6" t="n"/>
      <c r="L996" s="7">
        <f>IF(OR(G996="",J996="",I996=""),"",ABS(G996-J996)*I996)</f>
        <v/>
      </c>
      <c r="M996" s="7">
        <f>IF(OR(G996="",H996="",I996="",F996=""),"",IF(F996="Long",(H996-G996)*I996,(G996-H996)*I996))</f>
        <v/>
      </c>
      <c r="N996" s="6">
        <f>IF(OR(M996="",L996="",L996=0),"",M996/L996)</f>
        <v/>
      </c>
      <c r="O996">
        <f>IF(M996="","",IF(M996&gt;0,"Win",IF(M996&lt;0,"Loss","Scratch")))</f>
        <v/>
      </c>
    </row>
    <row r="997">
      <c r="A997" s="5" t="n"/>
      <c r="G997" s="6" t="n"/>
      <c r="H997" s="6" t="n"/>
      <c r="J997" s="6" t="n"/>
      <c r="K997" s="6" t="n"/>
      <c r="L997" s="7">
        <f>IF(OR(G997="",J997="",I997=""),"",ABS(G997-J997)*I997)</f>
        <v/>
      </c>
      <c r="M997" s="7">
        <f>IF(OR(G997="",H997="",I997="",F997=""),"",IF(F997="Long",(H997-G997)*I997,(G997-H997)*I997))</f>
        <v/>
      </c>
      <c r="N997" s="6">
        <f>IF(OR(M997="",L997="",L997=0),"",M997/L997)</f>
        <v/>
      </c>
      <c r="O997">
        <f>IF(M997="","",IF(M997&gt;0,"Win",IF(M997&lt;0,"Loss","Scratch")))</f>
        <v/>
      </c>
    </row>
    <row r="998">
      <c r="A998" s="5" t="n"/>
      <c r="G998" s="6" t="n"/>
      <c r="H998" s="6" t="n"/>
      <c r="J998" s="6" t="n"/>
      <c r="K998" s="6" t="n"/>
      <c r="L998" s="7">
        <f>IF(OR(G998="",J998="",I998=""),"",ABS(G998-J998)*I998)</f>
        <v/>
      </c>
      <c r="M998" s="7">
        <f>IF(OR(G998="",H998="",I998="",F998=""),"",IF(F998="Long",(H998-G998)*I998,(G998-H998)*I998))</f>
        <v/>
      </c>
      <c r="N998" s="6">
        <f>IF(OR(M998="",L998="",L998=0),"",M998/L998)</f>
        <v/>
      </c>
      <c r="O998">
        <f>IF(M998="","",IF(M998&gt;0,"Win",IF(M998&lt;0,"Loss","Scratch")))</f>
        <v/>
      </c>
    </row>
    <row r="999">
      <c r="A999" s="5" t="n"/>
      <c r="G999" s="6" t="n"/>
      <c r="H999" s="6" t="n"/>
      <c r="J999" s="6" t="n"/>
      <c r="K999" s="6" t="n"/>
      <c r="L999" s="7">
        <f>IF(OR(G999="",J999="",I999=""),"",ABS(G999-J999)*I999)</f>
        <v/>
      </c>
      <c r="M999" s="7">
        <f>IF(OR(G999="",H999="",I999="",F999=""),"",IF(F999="Long",(H999-G999)*I999,(G999-H999)*I999))</f>
        <v/>
      </c>
      <c r="N999" s="6">
        <f>IF(OR(M999="",L999="",L999=0),"",M999/L999)</f>
        <v/>
      </c>
      <c r="O999">
        <f>IF(M999="","",IF(M999&gt;0,"Win",IF(M999&lt;0,"Loss","Scratch")))</f>
        <v/>
      </c>
    </row>
    <row r="1000">
      <c r="A1000" s="5" t="n"/>
      <c r="G1000" s="6" t="n"/>
      <c r="H1000" s="6" t="n"/>
      <c r="J1000" s="6" t="n"/>
      <c r="K1000" s="6" t="n"/>
      <c r="L1000" s="7">
        <f>IF(OR(G1000="",J1000="",I1000=""),"",ABS(G1000-J1000)*I1000)</f>
        <v/>
      </c>
      <c r="M1000" s="7">
        <f>IF(OR(G1000="",H1000="",I1000="",F1000=""),"",IF(F1000="Long",(H1000-G1000)*I1000,(G1000-H1000)*I1000))</f>
        <v/>
      </c>
      <c r="N1000" s="6">
        <f>IF(OR(M1000="",L1000="",L1000=0),"",M1000/L1000)</f>
        <v/>
      </c>
      <c r="O1000">
        <f>IF(M1000="","",IF(M1000&gt;0,"Win",IF(M1000&lt;0,"Loss","Scratch")))</f>
        <v/>
      </c>
    </row>
    <row r="1001">
      <c r="A1001" s="5" t="n"/>
      <c r="G1001" s="6" t="n"/>
      <c r="H1001" s="6" t="n"/>
      <c r="J1001" s="6" t="n"/>
      <c r="K1001" s="6" t="n"/>
      <c r="L1001" s="7">
        <f>IF(OR(G1001="",J1001="",I1001=""),"",ABS(G1001-J1001)*I1001)</f>
        <v/>
      </c>
      <c r="M1001" s="7">
        <f>IF(OR(G1001="",H1001="",I1001="",F1001=""),"",IF(F1001="Long",(H1001-G1001)*I1001,(G1001-H1001)*I1001))</f>
        <v/>
      </c>
      <c r="N1001" s="6">
        <f>IF(OR(M1001="",L1001="",L1001=0),"",M1001/L1001)</f>
        <v/>
      </c>
      <c r="O1001">
        <f>IF(M1001="","",IF(M1001&gt;0,"Win",IF(M1001&lt;0,"Loss","Scratch")))</f>
        <v/>
      </c>
    </row>
  </sheetData>
  <autoFilter ref="A1:AB5000"/>
  <conditionalFormatting sqref="M2:M100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1001">
    <cfRule type="expression" priority="3" dxfId="2">
      <formula>$O2="Win"</formula>
    </cfRule>
  </conditionalFormatting>
  <conditionalFormatting sqref="Q2:Q1001">
    <cfRule type="expression" priority="4" dxfId="3">
      <formula>$Q2="No"</formula>
    </cfRule>
  </conditionalFormatting>
  <dataValidations count="9">
    <dataValidation sqref="B2:B1001" showDropDown="0" showInputMessage="0" showErrorMessage="0" allowBlank="1" type="list">
      <formula1>"Asia,London,NY AM,NY Lunch,NY PM,After Hours"</formula1>
    </dataValidation>
    <dataValidation sqref="C2:C1001" showDropDown="0" showInputMessage="0" showErrorMessage="0" allowBlank="1" type="list">
      <formula1>"ES,NQ,YM,RTY,GC,SI,CL,NG,KC,CT,SB,ZC,ZS,ZW,Other"</formula1>
    </dataValidation>
    <dataValidation sqref="F2:F1001" showDropDown="0" showInputMessage="0" showErrorMessage="0" allowBlank="1" type="list">
      <formula1>"Long,Short"</formula1>
    </dataValidation>
    <dataValidation sqref="P2:P1001" showDropDown="0" showInputMessage="0" showErrorMessage="0" allowBlank="1" type="list">
      <formula1>"A,B,C,D,F"</formula1>
    </dataValidation>
    <dataValidation sqref="Q2:Q1001" showDropDown="0" showInputMessage="0" showErrorMessage="0" allowBlank="1" type="list">
      <formula1>"Yes,No,Partial"</formula1>
    </dataValidation>
    <dataValidation sqref="R2:R1001" showDropDown="0" showInputMessage="0" showErrorMessage="0" allowBlank="1" type="list">
      <formula1>"Calm,Focused,Confident,Hesitant,FOMO,Revenge,Tired,Frustrated"</formula1>
    </dataValidation>
    <dataValidation sqref="S2:S1001" showDropDown="0" showInputMessage="0" showErrorMessage="0" allowBlank="1" type="list">
      <formula1>"Calm,Proud,Neutral,Frustrated,Angry,Regretful"</formula1>
    </dataValidation>
    <dataValidation sqref="T2:T1001" showDropDown="0" showInputMessage="0" showErrorMessage="0" allowBlank="1" type="list">
      <formula1>"Yes,No"</formula1>
    </dataValidation>
    <dataValidation sqref="U2:U1001" showDropDown="0" showInputMessage="0" showErrorMessage="0" allowBlank="1" type="list">
      <formula1>"None,Early Entry,Late Entry,Oversized,No Stop,Revenge,FOMO,Rule Break,Execution"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3" min="1" max="26"/>
    <col width="16" customWidth="1" style="3" min="2" max="2"/>
    <col width="12" customWidth="1" style="3" min="3" max="3"/>
    <col width="14" customWidth="1" style="3" min="4" max="4"/>
    <col width="14" customWidth="1" style="3" min="5" max="5"/>
    <col width="16" customWidth="1" style="3" min="6" max="6"/>
    <col width="12" customWidth="1" style="3" min="7" max="7"/>
    <col width="20" customWidth="1" style="3" min="8" max="8"/>
    <col width="14" customWidth="1" style="3" min="9" max="9"/>
    <col width="12" customWidth="1" style="3" min="10" max="10"/>
    <col width="24" customWidth="1" style="3" min="11" max="11"/>
  </cols>
  <sheetData>
    <row r="1">
      <c r="A1" s="4" t="inlineStr">
        <is>
          <t>Date</t>
        </is>
      </c>
      <c r="B1" s="4" t="inlineStr">
        <is>
          <t>Starting Balance</t>
        </is>
      </c>
      <c r="C1" s="4" t="inlineStr">
        <is>
          <t>Daily P/L</t>
        </is>
      </c>
      <c r="D1" s="4" t="inlineStr">
        <is>
          <t>Ending Balance</t>
        </is>
      </c>
      <c r="E1" s="4" t="inlineStr">
        <is>
          <t>Trailing High</t>
        </is>
      </c>
      <c r="F1" s="4" t="inlineStr">
        <is>
          <t>Current Drawdown</t>
        </is>
      </c>
      <c r="G1" s="4" t="inlineStr">
        <is>
          <t>Drawdown %</t>
        </is>
      </c>
      <c r="H1" s="4" t="inlineStr">
        <is>
          <t>Max Allowed Drawdown</t>
        </is>
      </c>
      <c r="I1" s="4" t="inlineStr">
        <is>
          <t>Cushion Left</t>
        </is>
      </c>
      <c r="J1" s="4" t="inlineStr">
        <is>
          <t>Status</t>
        </is>
      </c>
      <c r="K1" s="4" t="inlineStr">
        <is>
          <t>Notes</t>
        </is>
      </c>
    </row>
    <row r="2">
      <c r="B2" s="7" t="n"/>
      <c r="C2" s="7" t="n"/>
      <c r="D2" s="7">
        <f>IF(OR(B2="",C2=""),"",B2+C2)</f>
        <v/>
      </c>
      <c r="E2" s="7">
        <f>IF(D2="","",MAX($D$2:D2))</f>
        <v/>
      </c>
      <c r="F2" s="7">
        <f>IF(OR(E2="",D2=""),"",E2-D2)</f>
        <v/>
      </c>
      <c r="G2" s="8">
        <f>IF(OR(E2="",F2="",E2=0),"",F2/E2)</f>
        <v/>
      </c>
      <c r="H2" s="7" t="n"/>
      <c r="I2" s="7">
        <f>IF(OR(H2="",F2=""),"",H2-F2)</f>
        <v/>
      </c>
      <c r="J2">
        <f>IF(I2="","",IF(I2&lt;=0,"BREACH",IF(I2&lt;=500,"WARNING","OK")))</f>
        <v/>
      </c>
    </row>
    <row r="3">
      <c r="B3" s="7" t="n"/>
      <c r="C3" s="7" t="n"/>
      <c r="D3" s="7">
        <f>IF(OR(B3="",C3=""),"",B3+C3)</f>
        <v/>
      </c>
      <c r="E3" s="7">
        <f>IF(D3="","",MAX($D$2:D3))</f>
        <v/>
      </c>
      <c r="F3" s="7">
        <f>IF(OR(E3="",D3=""),"",E3-D3)</f>
        <v/>
      </c>
      <c r="G3" s="8">
        <f>IF(OR(E3="",F3="",E3=0),"",F3/E3)</f>
        <v/>
      </c>
      <c r="H3" s="7" t="n"/>
      <c r="I3" s="7">
        <f>IF(OR(H3="",F3=""),"",H3-F3)</f>
        <v/>
      </c>
      <c r="J3">
        <f>IF(I3="","",IF(I3&lt;=0,"BREACH",IF(I3&lt;=500,"WARNING","OK")))</f>
        <v/>
      </c>
    </row>
    <row r="4">
      <c r="B4" s="7" t="n"/>
      <c r="C4" s="7" t="n"/>
      <c r="D4" s="7">
        <f>IF(OR(B4="",C4=""),"",B4+C4)</f>
        <v/>
      </c>
      <c r="E4" s="7">
        <f>IF(D4="","",MAX($D$2:D4))</f>
        <v/>
      </c>
      <c r="F4" s="7">
        <f>IF(OR(E4="",D4=""),"",E4-D4)</f>
        <v/>
      </c>
      <c r="G4" s="8">
        <f>IF(OR(E4="",F4="",E4=0),"",F4/E4)</f>
        <v/>
      </c>
      <c r="H4" s="7" t="n"/>
      <c r="I4" s="7">
        <f>IF(OR(H4="",F4=""),"",H4-F4)</f>
        <v/>
      </c>
      <c r="J4">
        <f>IF(I4="","",IF(I4&lt;=0,"BREACH",IF(I4&lt;=500,"WARNING","OK")))</f>
        <v/>
      </c>
    </row>
    <row r="5">
      <c r="B5" s="7" t="n"/>
      <c r="C5" s="7" t="n"/>
      <c r="D5" s="7">
        <f>IF(OR(B5="",C5=""),"",B5+C5)</f>
        <v/>
      </c>
      <c r="E5" s="7">
        <f>IF(D5="","",MAX($D$2:D5))</f>
        <v/>
      </c>
      <c r="F5" s="7">
        <f>IF(OR(E5="",D5=""),"",E5-D5)</f>
        <v/>
      </c>
      <c r="G5" s="8">
        <f>IF(OR(E5="",F5="",E5=0),"",F5/E5)</f>
        <v/>
      </c>
      <c r="H5" s="7" t="n"/>
      <c r="I5" s="7">
        <f>IF(OR(H5="",F5=""),"",H5-F5)</f>
        <v/>
      </c>
      <c r="J5">
        <f>IF(I5="","",IF(I5&lt;=0,"BREACH",IF(I5&lt;=500,"WARNING","OK")))</f>
        <v/>
      </c>
    </row>
    <row r="6">
      <c r="B6" s="7" t="n"/>
      <c r="C6" s="7" t="n"/>
      <c r="D6" s="7">
        <f>IF(OR(B6="",C6=""),"",B6+C6)</f>
        <v/>
      </c>
      <c r="E6" s="7">
        <f>IF(D6="","",MAX($D$2:D6))</f>
        <v/>
      </c>
      <c r="F6" s="7">
        <f>IF(OR(E6="",D6=""),"",E6-D6)</f>
        <v/>
      </c>
      <c r="G6" s="8">
        <f>IF(OR(E6="",F6="",E6=0),"",F6/E6)</f>
        <v/>
      </c>
      <c r="H6" s="7" t="n"/>
      <c r="I6" s="7">
        <f>IF(OR(H6="",F6=""),"",H6-F6)</f>
        <v/>
      </c>
      <c r="J6">
        <f>IF(I6="","",IF(I6&lt;=0,"BREACH",IF(I6&lt;=500,"WARNING","OK")))</f>
        <v/>
      </c>
    </row>
    <row r="7">
      <c r="B7" s="7" t="n"/>
      <c r="C7" s="7" t="n"/>
      <c r="D7" s="7">
        <f>IF(OR(B7="",C7=""),"",B7+C7)</f>
        <v/>
      </c>
      <c r="E7" s="7">
        <f>IF(D7="","",MAX($D$2:D7))</f>
        <v/>
      </c>
      <c r="F7" s="7">
        <f>IF(OR(E7="",D7=""),"",E7-D7)</f>
        <v/>
      </c>
      <c r="G7" s="8">
        <f>IF(OR(E7="",F7="",E7=0),"",F7/E7)</f>
        <v/>
      </c>
      <c r="H7" s="7" t="n"/>
      <c r="I7" s="7">
        <f>IF(OR(H7="",F7=""),"",H7-F7)</f>
        <v/>
      </c>
      <c r="J7">
        <f>IF(I7="","",IF(I7&lt;=0,"BREACH",IF(I7&lt;=500,"WARNING","OK")))</f>
        <v/>
      </c>
    </row>
    <row r="8">
      <c r="B8" s="7" t="n"/>
      <c r="C8" s="7" t="n"/>
      <c r="D8" s="7">
        <f>IF(OR(B8="",C8=""),"",B8+C8)</f>
        <v/>
      </c>
      <c r="E8" s="7">
        <f>IF(D8="","",MAX($D$2:D8))</f>
        <v/>
      </c>
      <c r="F8" s="7">
        <f>IF(OR(E8="",D8=""),"",E8-D8)</f>
        <v/>
      </c>
      <c r="G8" s="8">
        <f>IF(OR(E8="",F8="",E8=0),"",F8/E8)</f>
        <v/>
      </c>
      <c r="H8" s="7" t="n"/>
      <c r="I8" s="7">
        <f>IF(OR(H8="",F8=""),"",H8-F8)</f>
        <v/>
      </c>
      <c r="J8">
        <f>IF(I8="","",IF(I8&lt;=0,"BREACH",IF(I8&lt;=500,"WARNING","OK")))</f>
        <v/>
      </c>
    </row>
    <row r="9">
      <c r="B9" s="7" t="n"/>
      <c r="C9" s="7" t="n"/>
      <c r="D9" s="7">
        <f>IF(OR(B9="",C9=""),"",B9+C9)</f>
        <v/>
      </c>
      <c r="E9" s="7">
        <f>IF(D9="","",MAX($D$2:D9))</f>
        <v/>
      </c>
      <c r="F9" s="7">
        <f>IF(OR(E9="",D9=""),"",E9-D9)</f>
        <v/>
      </c>
      <c r="G9" s="8">
        <f>IF(OR(E9="",F9="",E9=0),"",F9/E9)</f>
        <v/>
      </c>
      <c r="H9" s="7" t="n"/>
      <c r="I9" s="7">
        <f>IF(OR(H9="",F9=""),"",H9-F9)</f>
        <v/>
      </c>
      <c r="J9">
        <f>IF(I9="","",IF(I9&lt;=0,"BREACH",IF(I9&lt;=500,"WARNING","OK")))</f>
        <v/>
      </c>
    </row>
    <row r="10">
      <c r="B10" s="7" t="n"/>
      <c r="C10" s="7" t="n"/>
      <c r="D10" s="7">
        <f>IF(OR(B10="",C10=""),"",B10+C10)</f>
        <v/>
      </c>
      <c r="E10" s="7">
        <f>IF(D10="","",MAX($D$2:D10))</f>
        <v/>
      </c>
      <c r="F10" s="7">
        <f>IF(OR(E10="",D10=""),"",E10-D10)</f>
        <v/>
      </c>
      <c r="G10" s="8">
        <f>IF(OR(E10="",F10="",E10=0),"",F10/E10)</f>
        <v/>
      </c>
      <c r="H10" s="7" t="n"/>
      <c r="I10" s="7">
        <f>IF(OR(H10="",F10=""),"",H10-F10)</f>
        <v/>
      </c>
      <c r="J10">
        <f>IF(I10="","",IF(I10&lt;=0,"BREACH",IF(I10&lt;=500,"WARNING","OK")))</f>
        <v/>
      </c>
    </row>
    <row r="11">
      <c r="B11" s="7" t="n"/>
      <c r="C11" s="7" t="n"/>
      <c r="D11" s="7">
        <f>IF(OR(B11="",C11=""),"",B11+C11)</f>
        <v/>
      </c>
      <c r="E11" s="7">
        <f>IF(D11="","",MAX($D$2:D11))</f>
        <v/>
      </c>
      <c r="F11" s="7">
        <f>IF(OR(E11="",D11=""),"",E11-D11)</f>
        <v/>
      </c>
      <c r="G11" s="8">
        <f>IF(OR(E11="",F11="",E11=0),"",F11/E11)</f>
        <v/>
      </c>
      <c r="H11" s="7" t="n"/>
      <c r="I11" s="7">
        <f>IF(OR(H11="",F11=""),"",H11-F11)</f>
        <v/>
      </c>
      <c r="J11">
        <f>IF(I11="","",IF(I11&lt;=0,"BREACH",IF(I11&lt;=500,"WARNING","OK")))</f>
        <v/>
      </c>
    </row>
    <row r="12">
      <c r="B12" s="7" t="n"/>
      <c r="C12" s="7" t="n"/>
      <c r="D12" s="7">
        <f>IF(OR(B12="",C12=""),"",B12+C12)</f>
        <v/>
      </c>
      <c r="E12" s="7">
        <f>IF(D12="","",MAX($D$2:D12))</f>
        <v/>
      </c>
      <c r="F12" s="7">
        <f>IF(OR(E12="",D12=""),"",E12-D12)</f>
        <v/>
      </c>
      <c r="G12" s="8">
        <f>IF(OR(E12="",F12="",E12=0),"",F12/E12)</f>
        <v/>
      </c>
      <c r="H12" s="7" t="n"/>
      <c r="I12" s="7">
        <f>IF(OR(H12="",F12=""),"",H12-F12)</f>
        <v/>
      </c>
      <c r="J12">
        <f>IF(I12="","",IF(I12&lt;=0,"BREACH",IF(I12&lt;=500,"WARNING","OK")))</f>
        <v/>
      </c>
    </row>
    <row r="13">
      <c r="B13" s="7" t="n"/>
      <c r="C13" s="7" t="n"/>
      <c r="D13" s="7">
        <f>IF(OR(B13="",C13=""),"",B13+C13)</f>
        <v/>
      </c>
      <c r="E13" s="7">
        <f>IF(D13="","",MAX($D$2:D13))</f>
        <v/>
      </c>
      <c r="F13" s="7">
        <f>IF(OR(E13="",D13=""),"",E13-D13)</f>
        <v/>
      </c>
      <c r="G13" s="8">
        <f>IF(OR(E13="",F13="",E13=0),"",F13/E13)</f>
        <v/>
      </c>
      <c r="H13" s="7" t="n"/>
      <c r="I13" s="7">
        <f>IF(OR(H13="",F13=""),"",H13-F13)</f>
        <v/>
      </c>
      <c r="J13">
        <f>IF(I13="","",IF(I13&lt;=0,"BREACH",IF(I13&lt;=500,"WARNING","OK")))</f>
        <v/>
      </c>
    </row>
    <row r="14">
      <c r="B14" s="7" t="n"/>
      <c r="C14" s="7" t="n"/>
      <c r="D14" s="7">
        <f>IF(OR(B14="",C14=""),"",B14+C14)</f>
        <v/>
      </c>
      <c r="E14" s="7">
        <f>IF(D14="","",MAX($D$2:D14))</f>
        <v/>
      </c>
      <c r="F14" s="7">
        <f>IF(OR(E14="",D14=""),"",E14-D14)</f>
        <v/>
      </c>
      <c r="G14" s="8">
        <f>IF(OR(E14="",F14="",E14=0),"",F14/E14)</f>
        <v/>
      </c>
      <c r="H14" s="7" t="n"/>
      <c r="I14" s="7">
        <f>IF(OR(H14="",F14=""),"",H14-F14)</f>
        <v/>
      </c>
      <c r="J14">
        <f>IF(I14="","",IF(I14&lt;=0,"BREACH",IF(I14&lt;=500,"WARNING","OK")))</f>
        <v/>
      </c>
    </row>
    <row r="15">
      <c r="B15" s="7" t="n"/>
      <c r="C15" s="7" t="n"/>
      <c r="D15" s="7">
        <f>IF(OR(B15="",C15=""),"",B15+C15)</f>
        <v/>
      </c>
      <c r="E15" s="7">
        <f>IF(D15="","",MAX($D$2:D15))</f>
        <v/>
      </c>
      <c r="F15" s="7">
        <f>IF(OR(E15="",D15=""),"",E15-D15)</f>
        <v/>
      </c>
      <c r="G15" s="8">
        <f>IF(OR(E15="",F15="",E15=0),"",F15/E15)</f>
        <v/>
      </c>
      <c r="H15" s="7" t="n"/>
      <c r="I15" s="7">
        <f>IF(OR(H15="",F15=""),"",H15-F15)</f>
        <v/>
      </c>
      <c r="J15">
        <f>IF(I15="","",IF(I15&lt;=0,"BREACH",IF(I15&lt;=500,"WARNING","OK")))</f>
        <v/>
      </c>
    </row>
    <row r="16">
      <c r="B16" s="7" t="n"/>
      <c r="C16" s="7" t="n"/>
      <c r="D16" s="7">
        <f>IF(OR(B16="",C16=""),"",B16+C16)</f>
        <v/>
      </c>
      <c r="E16" s="7">
        <f>IF(D16="","",MAX($D$2:D16))</f>
        <v/>
      </c>
      <c r="F16" s="7">
        <f>IF(OR(E16="",D16=""),"",E16-D16)</f>
        <v/>
      </c>
      <c r="G16" s="8">
        <f>IF(OR(E16="",F16="",E16=0),"",F16/E16)</f>
        <v/>
      </c>
      <c r="H16" s="7" t="n"/>
      <c r="I16" s="7">
        <f>IF(OR(H16="",F16=""),"",H16-F16)</f>
        <v/>
      </c>
      <c r="J16">
        <f>IF(I16="","",IF(I16&lt;=0,"BREACH",IF(I16&lt;=500,"WARNING","OK")))</f>
        <v/>
      </c>
    </row>
    <row r="17">
      <c r="B17" s="7" t="n"/>
      <c r="C17" s="7" t="n"/>
      <c r="D17" s="7">
        <f>IF(OR(B17="",C17=""),"",B17+C17)</f>
        <v/>
      </c>
      <c r="E17" s="7">
        <f>IF(D17="","",MAX($D$2:D17))</f>
        <v/>
      </c>
      <c r="F17" s="7">
        <f>IF(OR(E17="",D17=""),"",E17-D17)</f>
        <v/>
      </c>
      <c r="G17" s="8">
        <f>IF(OR(E17="",F17="",E17=0),"",F17/E17)</f>
        <v/>
      </c>
      <c r="H17" s="7" t="n"/>
      <c r="I17" s="7">
        <f>IF(OR(H17="",F17=""),"",H17-F17)</f>
        <v/>
      </c>
      <c r="J17">
        <f>IF(I17="","",IF(I17&lt;=0,"BREACH",IF(I17&lt;=500,"WARNING","OK")))</f>
        <v/>
      </c>
    </row>
    <row r="18">
      <c r="B18" s="7" t="n"/>
      <c r="C18" s="7" t="n"/>
      <c r="D18" s="7">
        <f>IF(OR(B18="",C18=""),"",B18+C18)</f>
        <v/>
      </c>
      <c r="E18" s="7">
        <f>IF(D18="","",MAX($D$2:D18))</f>
        <v/>
      </c>
      <c r="F18" s="7">
        <f>IF(OR(E18="",D18=""),"",E18-D18)</f>
        <v/>
      </c>
      <c r="G18" s="8">
        <f>IF(OR(E18="",F18="",E18=0),"",F18/E18)</f>
        <v/>
      </c>
      <c r="H18" s="7" t="n"/>
      <c r="I18" s="7">
        <f>IF(OR(H18="",F18=""),"",H18-F18)</f>
        <v/>
      </c>
      <c r="J18">
        <f>IF(I18="","",IF(I18&lt;=0,"BREACH",IF(I18&lt;=500,"WARNING","OK")))</f>
        <v/>
      </c>
    </row>
    <row r="19">
      <c r="B19" s="7" t="n"/>
      <c r="C19" s="7" t="n"/>
      <c r="D19" s="7">
        <f>IF(OR(B19="",C19=""),"",B19+C19)</f>
        <v/>
      </c>
      <c r="E19" s="7">
        <f>IF(D19="","",MAX($D$2:D19))</f>
        <v/>
      </c>
      <c r="F19" s="7">
        <f>IF(OR(E19="",D19=""),"",E19-D19)</f>
        <v/>
      </c>
      <c r="G19" s="8">
        <f>IF(OR(E19="",F19="",E19=0),"",F19/E19)</f>
        <v/>
      </c>
      <c r="H19" s="7" t="n"/>
      <c r="I19" s="7">
        <f>IF(OR(H19="",F19=""),"",H19-F19)</f>
        <v/>
      </c>
      <c r="J19">
        <f>IF(I19="","",IF(I19&lt;=0,"BREACH",IF(I19&lt;=500,"WARNING","OK")))</f>
        <v/>
      </c>
    </row>
    <row r="20">
      <c r="B20" s="7" t="n"/>
      <c r="C20" s="7" t="n"/>
      <c r="D20" s="7">
        <f>IF(OR(B20="",C20=""),"",B20+C20)</f>
        <v/>
      </c>
      <c r="E20" s="7">
        <f>IF(D20="","",MAX($D$2:D20))</f>
        <v/>
      </c>
      <c r="F20" s="7">
        <f>IF(OR(E20="",D20=""),"",E20-D20)</f>
        <v/>
      </c>
      <c r="G20" s="8">
        <f>IF(OR(E20="",F20="",E20=0),"",F20/E20)</f>
        <v/>
      </c>
      <c r="H20" s="7" t="n"/>
      <c r="I20" s="7">
        <f>IF(OR(H20="",F20=""),"",H20-F20)</f>
        <v/>
      </c>
      <c r="J20">
        <f>IF(I20="","",IF(I20&lt;=0,"BREACH",IF(I20&lt;=500,"WARNING","OK")))</f>
        <v/>
      </c>
    </row>
    <row r="21">
      <c r="B21" s="7" t="n"/>
      <c r="C21" s="7" t="n"/>
      <c r="D21" s="7">
        <f>IF(OR(B21="",C21=""),"",B21+C21)</f>
        <v/>
      </c>
      <c r="E21" s="7">
        <f>IF(D21="","",MAX($D$2:D21))</f>
        <v/>
      </c>
      <c r="F21" s="7">
        <f>IF(OR(E21="",D21=""),"",E21-D21)</f>
        <v/>
      </c>
      <c r="G21" s="8">
        <f>IF(OR(E21="",F21="",E21=0),"",F21/E21)</f>
        <v/>
      </c>
      <c r="H21" s="7" t="n"/>
      <c r="I21" s="7">
        <f>IF(OR(H21="",F21=""),"",H21-F21)</f>
        <v/>
      </c>
      <c r="J21">
        <f>IF(I21="","",IF(I21&lt;=0,"BREACH",IF(I21&lt;=500,"WARNING","OK")))</f>
        <v/>
      </c>
    </row>
    <row r="22">
      <c r="B22" s="7" t="n"/>
      <c r="C22" s="7" t="n"/>
      <c r="D22" s="7">
        <f>IF(OR(B22="",C22=""),"",B22+C22)</f>
        <v/>
      </c>
      <c r="E22" s="7">
        <f>IF(D22="","",MAX($D$2:D22))</f>
        <v/>
      </c>
      <c r="F22" s="7">
        <f>IF(OR(E22="",D22=""),"",E22-D22)</f>
        <v/>
      </c>
      <c r="G22" s="8">
        <f>IF(OR(E22="",F22="",E22=0),"",F22/E22)</f>
        <v/>
      </c>
      <c r="H22" s="7" t="n"/>
      <c r="I22" s="7">
        <f>IF(OR(H22="",F22=""),"",H22-F22)</f>
        <v/>
      </c>
      <c r="J22">
        <f>IF(I22="","",IF(I22&lt;=0,"BREACH",IF(I22&lt;=500,"WARNING","OK")))</f>
        <v/>
      </c>
    </row>
    <row r="23">
      <c r="B23" s="7" t="n"/>
      <c r="C23" s="7" t="n"/>
      <c r="D23" s="7">
        <f>IF(OR(B23="",C23=""),"",B23+C23)</f>
        <v/>
      </c>
      <c r="E23" s="7">
        <f>IF(D23="","",MAX($D$2:D23))</f>
        <v/>
      </c>
      <c r="F23" s="7">
        <f>IF(OR(E23="",D23=""),"",E23-D23)</f>
        <v/>
      </c>
      <c r="G23" s="8">
        <f>IF(OR(E23="",F23="",E23=0),"",F23/E23)</f>
        <v/>
      </c>
      <c r="H23" s="7" t="n"/>
      <c r="I23" s="7">
        <f>IF(OR(H23="",F23=""),"",H23-F23)</f>
        <v/>
      </c>
      <c r="J23">
        <f>IF(I23="","",IF(I23&lt;=0,"BREACH",IF(I23&lt;=500,"WARNING","OK")))</f>
        <v/>
      </c>
    </row>
    <row r="24">
      <c r="B24" s="7" t="n"/>
      <c r="C24" s="7" t="n"/>
      <c r="D24" s="7">
        <f>IF(OR(B24="",C24=""),"",B24+C24)</f>
        <v/>
      </c>
      <c r="E24" s="7">
        <f>IF(D24="","",MAX($D$2:D24))</f>
        <v/>
      </c>
      <c r="F24" s="7">
        <f>IF(OR(E24="",D24=""),"",E24-D24)</f>
        <v/>
      </c>
      <c r="G24" s="8">
        <f>IF(OR(E24="",F24="",E24=0),"",F24/E24)</f>
        <v/>
      </c>
      <c r="H24" s="7" t="n"/>
      <c r="I24" s="7">
        <f>IF(OR(H24="",F24=""),"",H24-F24)</f>
        <v/>
      </c>
      <c r="J24">
        <f>IF(I24="","",IF(I24&lt;=0,"BREACH",IF(I24&lt;=500,"WARNING","OK")))</f>
        <v/>
      </c>
    </row>
    <row r="25">
      <c r="B25" s="7" t="n"/>
      <c r="C25" s="7" t="n"/>
      <c r="D25" s="7">
        <f>IF(OR(B25="",C25=""),"",B25+C25)</f>
        <v/>
      </c>
      <c r="E25" s="7">
        <f>IF(D25="","",MAX($D$2:D25))</f>
        <v/>
      </c>
      <c r="F25" s="7">
        <f>IF(OR(E25="",D25=""),"",E25-D25)</f>
        <v/>
      </c>
      <c r="G25" s="8">
        <f>IF(OR(E25="",F25="",E25=0),"",F25/E25)</f>
        <v/>
      </c>
      <c r="H25" s="7" t="n"/>
      <c r="I25" s="7">
        <f>IF(OR(H25="",F25=""),"",H25-F25)</f>
        <v/>
      </c>
      <c r="J25">
        <f>IF(I25="","",IF(I25&lt;=0,"BREACH",IF(I25&lt;=500,"WARNING","OK")))</f>
        <v/>
      </c>
    </row>
    <row r="26">
      <c r="B26" s="7" t="n"/>
      <c r="C26" s="7" t="n"/>
      <c r="D26" s="7">
        <f>IF(OR(B26="",C26=""),"",B26+C26)</f>
        <v/>
      </c>
      <c r="E26" s="7">
        <f>IF(D26="","",MAX($D$2:D26))</f>
        <v/>
      </c>
      <c r="F26" s="7">
        <f>IF(OR(E26="",D26=""),"",E26-D26)</f>
        <v/>
      </c>
      <c r="G26" s="8">
        <f>IF(OR(E26="",F26="",E26=0),"",F26/E26)</f>
        <v/>
      </c>
      <c r="H26" s="7" t="n"/>
      <c r="I26" s="7">
        <f>IF(OR(H26="",F26=""),"",H26-F26)</f>
        <v/>
      </c>
      <c r="J26">
        <f>IF(I26="","",IF(I26&lt;=0,"BREACH",IF(I26&lt;=500,"WARNING","OK")))</f>
        <v/>
      </c>
    </row>
    <row r="27">
      <c r="B27" s="7" t="n"/>
      <c r="C27" s="7" t="n"/>
      <c r="D27" s="7">
        <f>IF(OR(B27="",C27=""),"",B27+C27)</f>
        <v/>
      </c>
      <c r="E27" s="7">
        <f>IF(D27="","",MAX($D$2:D27))</f>
        <v/>
      </c>
      <c r="F27" s="7">
        <f>IF(OR(E27="",D27=""),"",E27-D27)</f>
        <v/>
      </c>
      <c r="G27" s="8">
        <f>IF(OR(E27="",F27="",E27=0),"",F27/E27)</f>
        <v/>
      </c>
      <c r="H27" s="7" t="n"/>
      <c r="I27" s="7">
        <f>IF(OR(H27="",F27=""),"",H27-F27)</f>
        <v/>
      </c>
      <c r="J27">
        <f>IF(I27="","",IF(I27&lt;=0,"BREACH",IF(I27&lt;=500,"WARNING","OK")))</f>
        <v/>
      </c>
    </row>
    <row r="28">
      <c r="B28" s="7" t="n"/>
      <c r="C28" s="7" t="n"/>
      <c r="D28" s="7">
        <f>IF(OR(B28="",C28=""),"",B28+C28)</f>
        <v/>
      </c>
      <c r="E28" s="7">
        <f>IF(D28="","",MAX($D$2:D28))</f>
        <v/>
      </c>
      <c r="F28" s="7">
        <f>IF(OR(E28="",D28=""),"",E28-D28)</f>
        <v/>
      </c>
      <c r="G28" s="8">
        <f>IF(OR(E28="",F28="",E28=0),"",F28/E28)</f>
        <v/>
      </c>
      <c r="H28" s="7" t="n"/>
      <c r="I28" s="7">
        <f>IF(OR(H28="",F28=""),"",H28-F28)</f>
        <v/>
      </c>
      <c r="J28">
        <f>IF(I28="","",IF(I28&lt;=0,"BREACH",IF(I28&lt;=500,"WARNING","OK")))</f>
        <v/>
      </c>
    </row>
    <row r="29">
      <c r="B29" s="7" t="n"/>
      <c r="C29" s="7" t="n"/>
      <c r="D29" s="7">
        <f>IF(OR(B29="",C29=""),"",B29+C29)</f>
        <v/>
      </c>
      <c r="E29" s="7">
        <f>IF(D29="","",MAX($D$2:D29))</f>
        <v/>
      </c>
      <c r="F29" s="7">
        <f>IF(OR(E29="",D29=""),"",E29-D29)</f>
        <v/>
      </c>
      <c r="G29" s="8">
        <f>IF(OR(E29="",F29="",E29=0),"",F29/E29)</f>
        <v/>
      </c>
      <c r="H29" s="7" t="n"/>
      <c r="I29" s="7">
        <f>IF(OR(H29="",F29=""),"",H29-F29)</f>
        <v/>
      </c>
      <c r="J29">
        <f>IF(I29="","",IF(I29&lt;=0,"BREACH",IF(I29&lt;=500,"WARNING","OK")))</f>
        <v/>
      </c>
    </row>
    <row r="30">
      <c r="B30" s="7" t="n"/>
      <c r="C30" s="7" t="n"/>
      <c r="D30" s="7">
        <f>IF(OR(B30="",C30=""),"",B30+C30)</f>
        <v/>
      </c>
      <c r="E30" s="7">
        <f>IF(D30="","",MAX($D$2:D30))</f>
        <v/>
      </c>
      <c r="F30" s="7">
        <f>IF(OR(E30="",D30=""),"",E30-D30)</f>
        <v/>
      </c>
      <c r="G30" s="8">
        <f>IF(OR(E30="",F30="",E30=0),"",F30/E30)</f>
        <v/>
      </c>
      <c r="H30" s="7" t="n"/>
      <c r="I30" s="7">
        <f>IF(OR(H30="",F30=""),"",H30-F30)</f>
        <v/>
      </c>
      <c r="J30">
        <f>IF(I30="","",IF(I30&lt;=0,"BREACH",IF(I30&lt;=500,"WARNING","OK")))</f>
        <v/>
      </c>
    </row>
    <row r="31">
      <c r="B31" s="7" t="n"/>
      <c r="C31" s="7" t="n"/>
      <c r="D31" s="7">
        <f>IF(OR(B31="",C31=""),"",B31+C31)</f>
        <v/>
      </c>
      <c r="E31" s="7">
        <f>IF(D31="","",MAX($D$2:D31))</f>
        <v/>
      </c>
      <c r="F31" s="7">
        <f>IF(OR(E31="",D31=""),"",E31-D31)</f>
        <v/>
      </c>
      <c r="G31" s="8">
        <f>IF(OR(E31="",F31="",E31=0),"",F31/E31)</f>
        <v/>
      </c>
      <c r="H31" s="7" t="n"/>
      <c r="I31" s="7">
        <f>IF(OR(H31="",F31=""),"",H31-F31)</f>
        <v/>
      </c>
      <c r="J31">
        <f>IF(I31="","",IF(I31&lt;=0,"BREACH",IF(I31&lt;=500,"WARNING","OK")))</f>
        <v/>
      </c>
    </row>
    <row r="32">
      <c r="B32" s="7" t="n"/>
      <c r="C32" s="7" t="n"/>
      <c r="D32" s="7">
        <f>IF(OR(B32="",C32=""),"",B32+C32)</f>
        <v/>
      </c>
      <c r="E32" s="7">
        <f>IF(D32="","",MAX($D$2:D32))</f>
        <v/>
      </c>
      <c r="F32" s="7">
        <f>IF(OR(E32="",D32=""),"",E32-D32)</f>
        <v/>
      </c>
      <c r="G32" s="8">
        <f>IF(OR(E32="",F32="",E32=0),"",F32/E32)</f>
        <v/>
      </c>
      <c r="H32" s="7" t="n"/>
      <c r="I32" s="7">
        <f>IF(OR(H32="",F32=""),"",H32-F32)</f>
        <v/>
      </c>
      <c r="J32">
        <f>IF(I32="","",IF(I32&lt;=0,"BREACH",IF(I32&lt;=500,"WARNING","OK")))</f>
        <v/>
      </c>
    </row>
    <row r="33">
      <c r="B33" s="7" t="n"/>
      <c r="C33" s="7" t="n"/>
      <c r="D33" s="7">
        <f>IF(OR(B33="",C33=""),"",B33+C33)</f>
        <v/>
      </c>
      <c r="E33" s="7">
        <f>IF(D33="","",MAX($D$2:D33))</f>
        <v/>
      </c>
      <c r="F33" s="7">
        <f>IF(OR(E33="",D33=""),"",E33-D33)</f>
        <v/>
      </c>
      <c r="G33" s="8">
        <f>IF(OR(E33="",F33="",E33=0),"",F33/E33)</f>
        <v/>
      </c>
      <c r="H33" s="7" t="n"/>
      <c r="I33" s="7">
        <f>IF(OR(H33="",F33=""),"",H33-F33)</f>
        <v/>
      </c>
      <c r="J33">
        <f>IF(I33="","",IF(I33&lt;=0,"BREACH",IF(I33&lt;=500,"WARNING","OK")))</f>
        <v/>
      </c>
    </row>
    <row r="34">
      <c r="B34" s="7" t="n"/>
      <c r="C34" s="7" t="n"/>
      <c r="D34" s="7">
        <f>IF(OR(B34="",C34=""),"",B34+C34)</f>
        <v/>
      </c>
      <c r="E34" s="7">
        <f>IF(D34="","",MAX($D$2:D34))</f>
        <v/>
      </c>
      <c r="F34" s="7">
        <f>IF(OR(E34="",D34=""),"",E34-D34)</f>
        <v/>
      </c>
      <c r="G34" s="8">
        <f>IF(OR(E34="",F34="",E34=0),"",F34/E34)</f>
        <v/>
      </c>
      <c r="H34" s="7" t="n"/>
      <c r="I34" s="7">
        <f>IF(OR(H34="",F34=""),"",H34-F34)</f>
        <v/>
      </c>
      <c r="J34">
        <f>IF(I34="","",IF(I34&lt;=0,"BREACH",IF(I34&lt;=500,"WARNING","OK")))</f>
        <v/>
      </c>
    </row>
    <row r="35">
      <c r="B35" s="7" t="n"/>
      <c r="C35" s="7" t="n"/>
      <c r="D35" s="7">
        <f>IF(OR(B35="",C35=""),"",B35+C35)</f>
        <v/>
      </c>
      <c r="E35" s="7">
        <f>IF(D35="","",MAX($D$2:D35))</f>
        <v/>
      </c>
      <c r="F35" s="7">
        <f>IF(OR(E35="",D35=""),"",E35-D35)</f>
        <v/>
      </c>
      <c r="G35" s="8">
        <f>IF(OR(E35="",F35="",E35=0),"",F35/E35)</f>
        <v/>
      </c>
      <c r="H35" s="7" t="n"/>
      <c r="I35" s="7">
        <f>IF(OR(H35="",F35=""),"",H35-F35)</f>
        <v/>
      </c>
      <c r="J35">
        <f>IF(I35="","",IF(I35&lt;=0,"BREACH",IF(I35&lt;=500,"WARNING","OK")))</f>
        <v/>
      </c>
    </row>
    <row r="36">
      <c r="B36" s="7" t="n"/>
      <c r="C36" s="7" t="n"/>
      <c r="D36" s="7">
        <f>IF(OR(B36="",C36=""),"",B36+C36)</f>
        <v/>
      </c>
      <c r="E36" s="7">
        <f>IF(D36="","",MAX($D$2:D36))</f>
        <v/>
      </c>
      <c r="F36" s="7">
        <f>IF(OR(E36="",D36=""),"",E36-D36)</f>
        <v/>
      </c>
      <c r="G36" s="8">
        <f>IF(OR(E36="",F36="",E36=0),"",F36/E36)</f>
        <v/>
      </c>
      <c r="H36" s="7" t="n"/>
      <c r="I36" s="7">
        <f>IF(OR(H36="",F36=""),"",H36-F36)</f>
        <v/>
      </c>
      <c r="J36">
        <f>IF(I36="","",IF(I36&lt;=0,"BREACH",IF(I36&lt;=500,"WARNING","OK")))</f>
        <v/>
      </c>
    </row>
    <row r="37">
      <c r="B37" s="7" t="n"/>
      <c r="C37" s="7" t="n"/>
      <c r="D37" s="7">
        <f>IF(OR(B37="",C37=""),"",B37+C37)</f>
        <v/>
      </c>
      <c r="E37" s="7">
        <f>IF(D37="","",MAX($D$2:D37))</f>
        <v/>
      </c>
      <c r="F37" s="7">
        <f>IF(OR(E37="",D37=""),"",E37-D37)</f>
        <v/>
      </c>
      <c r="G37" s="8">
        <f>IF(OR(E37="",F37="",E37=0),"",F37/E37)</f>
        <v/>
      </c>
      <c r="H37" s="7" t="n"/>
      <c r="I37" s="7">
        <f>IF(OR(H37="",F37=""),"",H37-F37)</f>
        <v/>
      </c>
      <c r="J37">
        <f>IF(I37="","",IF(I37&lt;=0,"BREACH",IF(I37&lt;=500,"WARNING","OK")))</f>
        <v/>
      </c>
    </row>
    <row r="38">
      <c r="B38" s="7" t="n"/>
      <c r="C38" s="7" t="n"/>
      <c r="D38" s="7">
        <f>IF(OR(B38="",C38=""),"",B38+C38)</f>
        <v/>
      </c>
      <c r="E38" s="7">
        <f>IF(D38="","",MAX($D$2:D38))</f>
        <v/>
      </c>
      <c r="F38" s="7">
        <f>IF(OR(E38="",D38=""),"",E38-D38)</f>
        <v/>
      </c>
      <c r="G38" s="8">
        <f>IF(OR(E38="",F38="",E38=0),"",F38/E38)</f>
        <v/>
      </c>
      <c r="H38" s="7" t="n"/>
      <c r="I38" s="7">
        <f>IF(OR(H38="",F38=""),"",H38-F38)</f>
        <v/>
      </c>
      <c r="J38">
        <f>IF(I38="","",IF(I38&lt;=0,"BREACH",IF(I38&lt;=500,"WARNING","OK")))</f>
        <v/>
      </c>
    </row>
    <row r="39">
      <c r="B39" s="7" t="n"/>
      <c r="C39" s="7" t="n"/>
      <c r="D39" s="7">
        <f>IF(OR(B39="",C39=""),"",B39+C39)</f>
        <v/>
      </c>
      <c r="E39" s="7">
        <f>IF(D39="","",MAX($D$2:D39))</f>
        <v/>
      </c>
      <c r="F39" s="7">
        <f>IF(OR(E39="",D39=""),"",E39-D39)</f>
        <v/>
      </c>
      <c r="G39" s="8">
        <f>IF(OR(E39="",F39="",E39=0),"",F39/E39)</f>
        <v/>
      </c>
      <c r="H39" s="7" t="n"/>
      <c r="I39" s="7">
        <f>IF(OR(H39="",F39=""),"",H39-F39)</f>
        <v/>
      </c>
      <c r="J39">
        <f>IF(I39="","",IF(I39&lt;=0,"BREACH",IF(I39&lt;=500,"WARNING","OK")))</f>
        <v/>
      </c>
    </row>
    <row r="40">
      <c r="B40" s="7" t="n"/>
      <c r="C40" s="7" t="n"/>
      <c r="D40" s="7">
        <f>IF(OR(B40="",C40=""),"",B40+C40)</f>
        <v/>
      </c>
      <c r="E40" s="7">
        <f>IF(D40="","",MAX($D$2:D40))</f>
        <v/>
      </c>
      <c r="F40" s="7">
        <f>IF(OR(E40="",D40=""),"",E40-D40)</f>
        <v/>
      </c>
      <c r="G40" s="8">
        <f>IF(OR(E40="",F40="",E40=0),"",F40/E40)</f>
        <v/>
      </c>
      <c r="H40" s="7" t="n"/>
      <c r="I40" s="7">
        <f>IF(OR(H40="",F40=""),"",H40-F40)</f>
        <v/>
      </c>
      <c r="J40">
        <f>IF(I40="","",IF(I40&lt;=0,"BREACH",IF(I40&lt;=500,"WARNING","OK")))</f>
        <v/>
      </c>
    </row>
    <row r="41">
      <c r="B41" s="7" t="n"/>
      <c r="C41" s="7" t="n"/>
      <c r="D41" s="7">
        <f>IF(OR(B41="",C41=""),"",B41+C41)</f>
        <v/>
      </c>
      <c r="E41" s="7">
        <f>IF(D41="","",MAX($D$2:D41))</f>
        <v/>
      </c>
      <c r="F41" s="7">
        <f>IF(OR(E41="",D41=""),"",E41-D41)</f>
        <v/>
      </c>
      <c r="G41" s="8">
        <f>IF(OR(E41="",F41="",E41=0),"",F41/E41)</f>
        <v/>
      </c>
      <c r="H41" s="7" t="n"/>
      <c r="I41" s="7">
        <f>IF(OR(H41="",F41=""),"",H41-F41)</f>
        <v/>
      </c>
      <c r="J41">
        <f>IF(I41="","",IF(I41&lt;=0,"BREACH",IF(I41&lt;=500,"WARNING","OK")))</f>
        <v/>
      </c>
    </row>
    <row r="42">
      <c r="B42" s="7" t="n"/>
      <c r="C42" s="7" t="n"/>
      <c r="D42" s="7">
        <f>IF(OR(B42="",C42=""),"",B42+C42)</f>
        <v/>
      </c>
      <c r="E42" s="7">
        <f>IF(D42="","",MAX($D$2:D42))</f>
        <v/>
      </c>
      <c r="F42" s="7">
        <f>IF(OR(E42="",D42=""),"",E42-D42)</f>
        <v/>
      </c>
      <c r="G42" s="8">
        <f>IF(OR(E42="",F42="",E42=0),"",F42/E42)</f>
        <v/>
      </c>
      <c r="H42" s="7" t="n"/>
      <c r="I42" s="7">
        <f>IF(OR(H42="",F42=""),"",H42-F42)</f>
        <v/>
      </c>
      <c r="J42">
        <f>IF(I42="","",IF(I42&lt;=0,"BREACH",IF(I42&lt;=500,"WARNING","OK")))</f>
        <v/>
      </c>
    </row>
    <row r="43">
      <c r="B43" s="7" t="n"/>
      <c r="C43" s="7" t="n"/>
      <c r="D43" s="7">
        <f>IF(OR(B43="",C43=""),"",B43+C43)</f>
        <v/>
      </c>
      <c r="E43" s="7">
        <f>IF(D43="","",MAX($D$2:D43))</f>
        <v/>
      </c>
      <c r="F43" s="7">
        <f>IF(OR(E43="",D43=""),"",E43-D43)</f>
        <v/>
      </c>
      <c r="G43" s="8">
        <f>IF(OR(E43="",F43="",E43=0),"",F43/E43)</f>
        <v/>
      </c>
      <c r="H43" s="7" t="n"/>
      <c r="I43" s="7">
        <f>IF(OR(H43="",F43=""),"",H43-F43)</f>
        <v/>
      </c>
      <c r="J43">
        <f>IF(I43="","",IF(I43&lt;=0,"BREACH",IF(I43&lt;=500,"WARNING","OK")))</f>
        <v/>
      </c>
    </row>
    <row r="44">
      <c r="B44" s="7" t="n"/>
      <c r="C44" s="7" t="n"/>
      <c r="D44" s="7">
        <f>IF(OR(B44="",C44=""),"",B44+C44)</f>
        <v/>
      </c>
      <c r="E44" s="7">
        <f>IF(D44="","",MAX($D$2:D44))</f>
        <v/>
      </c>
      <c r="F44" s="7">
        <f>IF(OR(E44="",D44=""),"",E44-D44)</f>
        <v/>
      </c>
      <c r="G44" s="8">
        <f>IF(OR(E44="",F44="",E44=0),"",F44/E44)</f>
        <v/>
      </c>
      <c r="H44" s="7" t="n"/>
      <c r="I44" s="7">
        <f>IF(OR(H44="",F44=""),"",H44-F44)</f>
        <v/>
      </c>
      <c r="J44">
        <f>IF(I44="","",IF(I44&lt;=0,"BREACH",IF(I44&lt;=500,"WARNING","OK")))</f>
        <v/>
      </c>
    </row>
    <row r="45">
      <c r="B45" s="7" t="n"/>
      <c r="C45" s="7" t="n"/>
      <c r="D45" s="7">
        <f>IF(OR(B45="",C45=""),"",B45+C45)</f>
        <v/>
      </c>
      <c r="E45" s="7">
        <f>IF(D45="","",MAX($D$2:D45))</f>
        <v/>
      </c>
      <c r="F45" s="7">
        <f>IF(OR(E45="",D45=""),"",E45-D45)</f>
        <v/>
      </c>
      <c r="G45" s="8">
        <f>IF(OR(E45="",F45="",E45=0),"",F45/E45)</f>
        <v/>
      </c>
      <c r="H45" s="7" t="n"/>
      <c r="I45" s="7">
        <f>IF(OR(H45="",F45=""),"",H45-F45)</f>
        <v/>
      </c>
      <c r="J45">
        <f>IF(I45="","",IF(I45&lt;=0,"BREACH",IF(I45&lt;=500,"WARNING","OK")))</f>
        <v/>
      </c>
    </row>
    <row r="46">
      <c r="B46" s="7" t="n"/>
      <c r="C46" s="7" t="n"/>
      <c r="D46" s="7">
        <f>IF(OR(B46="",C46=""),"",B46+C46)</f>
        <v/>
      </c>
      <c r="E46" s="7">
        <f>IF(D46="","",MAX($D$2:D46))</f>
        <v/>
      </c>
      <c r="F46" s="7">
        <f>IF(OR(E46="",D46=""),"",E46-D46)</f>
        <v/>
      </c>
      <c r="G46" s="8">
        <f>IF(OR(E46="",F46="",E46=0),"",F46/E46)</f>
        <v/>
      </c>
      <c r="H46" s="7" t="n"/>
      <c r="I46" s="7">
        <f>IF(OR(H46="",F46=""),"",H46-F46)</f>
        <v/>
      </c>
      <c r="J46">
        <f>IF(I46="","",IF(I46&lt;=0,"BREACH",IF(I46&lt;=500,"WARNING","OK")))</f>
        <v/>
      </c>
    </row>
    <row r="47">
      <c r="B47" s="7" t="n"/>
      <c r="C47" s="7" t="n"/>
      <c r="D47" s="7">
        <f>IF(OR(B47="",C47=""),"",B47+C47)</f>
        <v/>
      </c>
      <c r="E47" s="7">
        <f>IF(D47="","",MAX($D$2:D47))</f>
        <v/>
      </c>
      <c r="F47" s="7">
        <f>IF(OR(E47="",D47=""),"",E47-D47)</f>
        <v/>
      </c>
      <c r="G47" s="8">
        <f>IF(OR(E47="",F47="",E47=0),"",F47/E47)</f>
        <v/>
      </c>
      <c r="H47" s="7" t="n"/>
      <c r="I47" s="7">
        <f>IF(OR(H47="",F47=""),"",H47-F47)</f>
        <v/>
      </c>
      <c r="J47">
        <f>IF(I47="","",IF(I47&lt;=0,"BREACH",IF(I47&lt;=500,"WARNING","OK")))</f>
        <v/>
      </c>
    </row>
    <row r="48">
      <c r="B48" s="7" t="n"/>
      <c r="C48" s="7" t="n"/>
      <c r="D48" s="7">
        <f>IF(OR(B48="",C48=""),"",B48+C48)</f>
        <v/>
      </c>
      <c r="E48" s="7">
        <f>IF(D48="","",MAX($D$2:D48))</f>
        <v/>
      </c>
      <c r="F48" s="7">
        <f>IF(OR(E48="",D48=""),"",E48-D48)</f>
        <v/>
      </c>
      <c r="G48" s="8">
        <f>IF(OR(E48="",F48="",E48=0),"",F48/E48)</f>
        <v/>
      </c>
      <c r="H48" s="7" t="n"/>
      <c r="I48" s="7">
        <f>IF(OR(H48="",F48=""),"",H48-F48)</f>
        <v/>
      </c>
      <c r="J48">
        <f>IF(I48="","",IF(I48&lt;=0,"BREACH",IF(I48&lt;=500,"WARNING","OK")))</f>
        <v/>
      </c>
    </row>
    <row r="49">
      <c r="B49" s="7" t="n"/>
      <c r="C49" s="7" t="n"/>
      <c r="D49" s="7">
        <f>IF(OR(B49="",C49=""),"",B49+C49)</f>
        <v/>
      </c>
      <c r="E49" s="7">
        <f>IF(D49="","",MAX($D$2:D49))</f>
        <v/>
      </c>
      <c r="F49" s="7">
        <f>IF(OR(E49="",D49=""),"",E49-D49)</f>
        <v/>
      </c>
      <c r="G49" s="8">
        <f>IF(OR(E49="",F49="",E49=0),"",F49/E49)</f>
        <v/>
      </c>
      <c r="H49" s="7" t="n"/>
      <c r="I49" s="7">
        <f>IF(OR(H49="",F49=""),"",H49-F49)</f>
        <v/>
      </c>
      <c r="J49">
        <f>IF(I49="","",IF(I49&lt;=0,"BREACH",IF(I49&lt;=500,"WARNING","OK")))</f>
        <v/>
      </c>
    </row>
    <row r="50">
      <c r="B50" s="7" t="n"/>
      <c r="C50" s="7" t="n"/>
      <c r="D50" s="7">
        <f>IF(OR(B50="",C50=""),"",B50+C50)</f>
        <v/>
      </c>
      <c r="E50" s="7">
        <f>IF(D50="","",MAX($D$2:D50))</f>
        <v/>
      </c>
      <c r="F50" s="7">
        <f>IF(OR(E50="",D50=""),"",E50-D50)</f>
        <v/>
      </c>
      <c r="G50" s="8">
        <f>IF(OR(E50="",F50="",E50=0),"",F50/E50)</f>
        <v/>
      </c>
      <c r="H50" s="7" t="n"/>
      <c r="I50" s="7">
        <f>IF(OR(H50="",F50=""),"",H50-F50)</f>
        <v/>
      </c>
      <c r="J50">
        <f>IF(I50="","",IF(I50&lt;=0,"BREACH",IF(I50&lt;=500,"WARNING","OK")))</f>
        <v/>
      </c>
    </row>
    <row r="51">
      <c r="B51" s="7" t="n"/>
      <c r="C51" s="7" t="n"/>
      <c r="D51" s="7">
        <f>IF(OR(B51="",C51=""),"",B51+C51)</f>
        <v/>
      </c>
      <c r="E51" s="7">
        <f>IF(D51="","",MAX($D$2:D51))</f>
        <v/>
      </c>
      <c r="F51" s="7">
        <f>IF(OR(E51="",D51=""),"",E51-D51)</f>
        <v/>
      </c>
      <c r="G51" s="8">
        <f>IF(OR(E51="",F51="",E51=0),"",F51/E51)</f>
        <v/>
      </c>
      <c r="H51" s="7" t="n"/>
      <c r="I51" s="7">
        <f>IF(OR(H51="",F51=""),"",H51-F51)</f>
        <v/>
      </c>
      <c r="J51">
        <f>IF(I51="","",IF(I51&lt;=0,"BREACH",IF(I51&lt;=500,"WARNING","OK")))</f>
        <v/>
      </c>
    </row>
    <row r="52">
      <c r="B52" s="7" t="n"/>
      <c r="C52" s="7" t="n"/>
      <c r="D52" s="7">
        <f>IF(OR(B52="",C52=""),"",B52+C52)</f>
        <v/>
      </c>
      <c r="E52" s="7">
        <f>IF(D52="","",MAX($D$2:D52))</f>
        <v/>
      </c>
      <c r="F52" s="7">
        <f>IF(OR(E52="",D52=""),"",E52-D52)</f>
        <v/>
      </c>
      <c r="G52" s="8">
        <f>IF(OR(E52="",F52="",E52=0),"",F52/E52)</f>
        <v/>
      </c>
      <c r="H52" s="7" t="n"/>
      <c r="I52" s="7">
        <f>IF(OR(H52="",F52=""),"",H52-F52)</f>
        <v/>
      </c>
      <c r="J52">
        <f>IF(I52="","",IF(I52&lt;=0,"BREACH",IF(I52&lt;=500,"WARNING","OK")))</f>
        <v/>
      </c>
    </row>
    <row r="53">
      <c r="B53" s="7" t="n"/>
      <c r="C53" s="7" t="n"/>
      <c r="D53" s="7">
        <f>IF(OR(B53="",C53=""),"",B53+C53)</f>
        <v/>
      </c>
      <c r="E53" s="7">
        <f>IF(D53="","",MAX($D$2:D53))</f>
        <v/>
      </c>
      <c r="F53" s="7">
        <f>IF(OR(E53="",D53=""),"",E53-D53)</f>
        <v/>
      </c>
      <c r="G53" s="8">
        <f>IF(OR(E53="",F53="",E53=0),"",F53/E53)</f>
        <v/>
      </c>
      <c r="H53" s="7" t="n"/>
      <c r="I53" s="7">
        <f>IF(OR(H53="",F53=""),"",H53-F53)</f>
        <v/>
      </c>
      <c r="J53">
        <f>IF(I53="","",IF(I53&lt;=0,"BREACH",IF(I53&lt;=500,"WARNING","OK")))</f>
        <v/>
      </c>
    </row>
    <row r="54">
      <c r="B54" s="7" t="n"/>
      <c r="C54" s="7" t="n"/>
      <c r="D54" s="7">
        <f>IF(OR(B54="",C54=""),"",B54+C54)</f>
        <v/>
      </c>
      <c r="E54" s="7">
        <f>IF(D54="","",MAX($D$2:D54))</f>
        <v/>
      </c>
      <c r="F54" s="7">
        <f>IF(OR(E54="",D54=""),"",E54-D54)</f>
        <v/>
      </c>
      <c r="G54" s="8">
        <f>IF(OR(E54="",F54="",E54=0),"",F54/E54)</f>
        <v/>
      </c>
      <c r="H54" s="7" t="n"/>
      <c r="I54" s="7">
        <f>IF(OR(H54="",F54=""),"",H54-F54)</f>
        <v/>
      </c>
      <c r="J54">
        <f>IF(I54="","",IF(I54&lt;=0,"BREACH",IF(I54&lt;=500,"WARNING","OK")))</f>
        <v/>
      </c>
    </row>
    <row r="55">
      <c r="B55" s="7" t="n"/>
      <c r="C55" s="7" t="n"/>
      <c r="D55" s="7">
        <f>IF(OR(B55="",C55=""),"",B55+C55)</f>
        <v/>
      </c>
      <c r="E55" s="7">
        <f>IF(D55="","",MAX($D$2:D55))</f>
        <v/>
      </c>
      <c r="F55" s="7">
        <f>IF(OR(E55="",D55=""),"",E55-D55)</f>
        <v/>
      </c>
      <c r="G55" s="8">
        <f>IF(OR(E55="",F55="",E55=0),"",F55/E55)</f>
        <v/>
      </c>
      <c r="H55" s="7" t="n"/>
      <c r="I55" s="7">
        <f>IF(OR(H55="",F55=""),"",H55-F55)</f>
        <v/>
      </c>
      <c r="J55">
        <f>IF(I55="","",IF(I55&lt;=0,"BREACH",IF(I55&lt;=500,"WARNING","OK")))</f>
        <v/>
      </c>
    </row>
    <row r="56">
      <c r="B56" s="7" t="n"/>
      <c r="C56" s="7" t="n"/>
      <c r="D56" s="7">
        <f>IF(OR(B56="",C56=""),"",B56+C56)</f>
        <v/>
      </c>
      <c r="E56" s="7">
        <f>IF(D56="","",MAX($D$2:D56))</f>
        <v/>
      </c>
      <c r="F56" s="7">
        <f>IF(OR(E56="",D56=""),"",E56-D56)</f>
        <v/>
      </c>
      <c r="G56" s="8">
        <f>IF(OR(E56="",F56="",E56=0),"",F56/E56)</f>
        <v/>
      </c>
      <c r="H56" s="7" t="n"/>
      <c r="I56" s="7">
        <f>IF(OR(H56="",F56=""),"",H56-F56)</f>
        <v/>
      </c>
      <c r="J56">
        <f>IF(I56="","",IF(I56&lt;=0,"BREACH",IF(I56&lt;=500,"WARNING","OK")))</f>
        <v/>
      </c>
    </row>
    <row r="57">
      <c r="B57" s="7" t="n"/>
      <c r="C57" s="7" t="n"/>
      <c r="D57" s="7">
        <f>IF(OR(B57="",C57=""),"",B57+C57)</f>
        <v/>
      </c>
      <c r="E57" s="7">
        <f>IF(D57="","",MAX($D$2:D57))</f>
        <v/>
      </c>
      <c r="F57" s="7">
        <f>IF(OR(E57="",D57=""),"",E57-D57)</f>
        <v/>
      </c>
      <c r="G57" s="8">
        <f>IF(OR(E57="",F57="",E57=0),"",F57/E57)</f>
        <v/>
      </c>
      <c r="H57" s="7" t="n"/>
      <c r="I57" s="7">
        <f>IF(OR(H57="",F57=""),"",H57-F57)</f>
        <v/>
      </c>
      <c r="J57">
        <f>IF(I57="","",IF(I57&lt;=0,"BREACH",IF(I57&lt;=500,"WARNING","OK")))</f>
        <v/>
      </c>
    </row>
    <row r="58">
      <c r="B58" s="7" t="n"/>
      <c r="C58" s="7" t="n"/>
      <c r="D58" s="7">
        <f>IF(OR(B58="",C58=""),"",B58+C58)</f>
        <v/>
      </c>
      <c r="E58" s="7">
        <f>IF(D58="","",MAX($D$2:D58))</f>
        <v/>
      </c>
      <c r="F58" s="7">
        <f>IF(OR(E58="",D58=""),"",E58-D58)</f>
        <v/>
      </c>
      <c r="G58" s="8">
        <f>IF(OR(E58="",F58="",E58=0),"",F58/E58)</f>
        <v/>
      </c>
      <c r="H58" s="7" t="n"/>
      <c r="I58" s="7">
        <f>IF(OR(H58="",F58=""),"",H58-F58)</f>
        <v/>
      </c>
      <c r="J58">
        <f>IF(I58="","",IF(I58&lt;=0,"BREACH",IF(I58&lt;=500,"WARNING","OK")))</f>
        <v/>
      </c>
    </row>
    <row r="59">
      <c r="B59" s="7" t="n"/>
      <c r="C59" s="7" t="n"/>
      <c r="D59" s="7">
        <f>IF(OR(B59="",C59=""),"",B59+C59)</f>
        <v/>
      </c>
      <c r="E59" s="7">
        <f>IF(D59="","",MAX($D$2:D59))</f>
        <v/>
      </c>
      <c r="F59" s="7">
        <f>IF(OR(E59="",D59=""),"",E59-D59)</f>
        <v/>
      </c>
      <c r="G59" s="8">
        <f>IF(OR(E59="",F59="",E59=0),"",F59/E59)</f>
        <v/>
      </c>
      <c r="H59" s="7" t="n"/>
      <c r="I59" s="7">
        <f>IF(OR(H59="",F59=""),"",H59-F59)</f>
        <v/>
      </c>
      <c r="J59">
        <f>IF(I59="","",IF(I59&lt;=0,"BREACH",IF(I59&lt;=500,"WARNING","OK")))</f>
        <v/>
      </c>
    </row>
    <row r="60">
      <c r="B60" s="7" t="n"/>
      <c r="C60" s="7" t="n"/>
      <c r="D60" s="7">
        <f>IF(OR(B60="",C60=""),"",B60+C60)</f>
        <v/>
      </c>
      <c r="E60" s="7">
        <f>IF(D60="","",MAX($D$2:D60))</f>
        <v/>
      </c>
      <c r="F60" s="7">
        <f>IF(OR(E60="",D60=""),"",E60-D60)</f>
        <v/>
      </c>
      <c r="G60" s="8">
        <f>IF(OR(E60="",F60="",E60=0),"",F60/E60)</f>
        <v/>
      </c>
      <c r="H60" s="7" t="n"/>
      <c r="I60" s="7">
        <f>IF(OR(H60="",F60=""),"",H60-F60)</f>
        <v/>
      </c>
      <c r="J60">
        <f>IF(I60="","",IF(I60&lt;=0,"BREACH",IF(I60&lt;=500,"WARNING","OK")))</f>
        <v/>
      </c>
    </row>
    <row r="61">
      <c r="B61" s="7" t="n"/>
      <c r="C61" s="7" t="n"/>
      <c r="D61" s="7">
        <f>IF(OR(B61="",C61=""),"",B61+C61)</f>
        <v/>
      </c>
      <c r="E61" s="7">
        <f>IF(D61="","",MAX($D$2:D61))</f>
        <v/>
      </c>
      <c r="F61" s="7">
        <f>IF(OR(E61="",D61=""),"",E61-D61)</f>
        <v/>
      </c>
      <c r="G61" s="8">
        <f>IF(OR(E61="",F61="",E61=0),"",F61/E61)</f>
        <v/>
      </c>
      <c r="H61" s="7" t="n"/>
      <c r="I61" s="7">
        <f>IF(OR(H61="",F61=""),"",H61-F61)</f>
        <v/>
      </c>
      <c r="J61">
        <f>IF(I61="","",IF(I61&lt;=0,"BREACH",IF(I61&lt;=500,"WARNING","OK")))</f>
        <v/>
      </c>
    </row>
    <row r="62">
      <c r="B62" s="7" t="n"/>
      <c r="C62" s="7" t="n"/>
      <c r="D62" s="7">
        <f>IF(OR(B62="",C62=""),"",B62+C62)</f>
        <v/>
      </c>
      <c r="E62" s="7">
        <f>IF(D62="","",MAX($D$2:D62))</f>
        <v/>
      </c>
      <c r="F62" s="7">
        <f>IF(OR(E62="",D62=""),"",E62-D62)</f>
        <v/>
      </c>
      <c r="G62" s="8">
        <f>IF(OR(E62="",F62="",E62=0),"",F62/E62)</f>
        <v/>
      </c>
      <c r="H62" s="7" t="n"/>
      <c r="I62" s="7">
        <f>IF(OR(H62="",F62=""),"",H62-F62)</f>
        <v/>
      </c>
      <c r="J62">
        <f>IF(I62="","",IF(I62&lt;=0,"BREACH",IF(I62&lt;=500,"WARNING","OK")))</f>
        <v/>
      </c>
    </row>
    <row r="63">
      <c r="B63" s="7" t="n"/>
      <c r="C63" s="7" t="n"/>
      <c r="D63" s="7">
        <f>IF(OR(B63="",C63=""),"",B63+C63)</f>
        <v/>
      </c>
      <c r="E63" s="7">
        <f>IF(D63="","",MAX($D$2:D63))</f>
        <v/>
      </c>
      <c r="F63" s="7">
        <f>IF(OR(E63="",D63=""),"",E63-D63)</f>
        <v/>
      </c>
      <c r="G63" s="8">
        <f>IF(OR(E63="",F63="",E63=0),"",F63/E63)</f>
        <v/>
      </c>
      <c r="H63" s="7" t="n"/>
      <c r="I63" s="7">
        <f>IF(OR(H63="",F63=""),"",H63-F63)</f>
        <v/>
      </c>
      <c r="J63">
        <f>IF(I63="","",IF(I63&lt;=0,"BREACH",IF(I63&lt;=500,"WARNING","OK")))</f>
        <v/>
      </c>
    </row>
    <row r="64">
      <c r="B64" s="7" t="n"/>
      <c r="C64" s="7" t="n"/>
      <c r="D64" s="7">
        <f>IF(OR(B64="",C64=""),"",B64+C64)</f>
        <v/>
      </c>
      <c r="E64" s="7">
        <f>IF(D64="","",MAX($D$2:D64))</f>
        <v/>
      </c>
      <c r="F64" s="7">
        <f>IF(OR(E64="",D64=""),"",E64-D64)</f>
        <v/>
      </c>
      <c r="G64" s="8">
        <f>IF(OR(E64="",F64="",E64=0),"",F64/E64)</f>
        <v/>
      </c>
      <c r="H64" s="7" t="n"/>
      <c r="I64" s="7">
        <f>IF(OR(H64="",F64=""),"",H64-F64)</f>
        <v/>
      </c>
      <c r="J64">
        <f>IF(I64="","",IF(I64&lt;=0,"BREACH",IF(I64&lt;=500,"WARNING","OK")))</f>
        <v/>
      </c>
    </row>
    <row r="65">
      <c r="B65" s="7" t="n"/>
      <c r="C65" s="7" t="n"/>
      <c r="D65" s="7">
        <f>IF(OR(B65="",C65=""),"",B65+C65)</f>
        <v/>
      </c>
      <c r="E65" s="7">
        <f>IF(D65="","",MAX($D$2:D65))</f>
        <v/>
      </c>
      <c r="F65" s="7">
        <f>IF(OR(E65="",D65=""),"",E65-D65)</f>
        <v/>
      </c>
      <c r="G65" s="8">
        <f>IF(OR(E65="",F65="",E65=0),"",F65/E65)</f>
        <v/>
      </c>
      <c r="H65" s="7" t="n"/>
      <c r="I65" s="7">
        <f>IF(OR(H65="",F65=""),"",H65-F65)</f>
        <v/>
      </c>
      <c r="J65">
        <f>IF(I65="","",IF(I65&lt;=0,"BREACH",IF(I65&lt;=500,"WARNING","OK")))</f>
        <v/>
      </c>
    </row>
    <row r="66">
      <c r="B66" s="7" t="n"/>
      <c r="C66" s="7" t="n"/>
      <c r="D66" s="7">
        <f>IF(OR(B66="",C66=""),"",B66+C66)</f>
        <v/>
      </c>
      <c r="E66" s="7">
        <f>IF(D66="","",MAX($D$2:D66))</f>
        <v/>
      </c>
      <c r="F66" s="7">
        <f>IF(OR(E66="",D66=""),"",E66-D66)</f>
        <v/>
      </c>
      <c r="G66" s="8">
        <f>IF(OR(E66="",F66="",E66=0),"",F66/E66)</f>
        <v/>
      </c>
      <c r="H66" s="7" t="n"/>
      <c r="I66" s="7">
        <f>IF(OR(H66="",F66=""),"",H66-F66)</f>
        <v/>
      </c>
      <c r="J66">
        <f>IF(I66="","",IF(I66&lt;=0,"BREACH",IF(I66&lt;=500,"WARNING","OK")))</f>
        <v/>
      </c>
    </row>
    <row r="67">
      <c r="B67" s="7" t="n"/>
      <c r="C67" s="7" t="n"/>
      <c r="D67" s="7">
        <f>IF(OR(B67="",C67=""),"",B67+C67)</f>
        <v/>
      </c>
      <c r="E67" s="7">
        <f>IF(D67="","",MAX($D$2:D67))</f>
        <v/>
      </c>
      <c r="F67" s="7">
        <f>IF(OR(E67="",D67=""),"",E67-D67)</f>
        <v/>
      </c>
      <c r="G67" s="8">
        <f>IF(OR(E67="",F67="",E67=0),"",F67/E67)</f>
        <v/>
      </c>
      <c r="H67" s="7" t="n"/>
      <c r="I67" s="7">
        <f>IF(OR(H67="",F67=""),"",H67-F67)</f>
        <v/>
      </c>
      <c r="J67">
        <f>IF(I67="","",IF(I67&lt;=0,"BREACH",IF(I67&lt;=500,"WARNING","OK")))</f>
        <v/>
      </c>
    </row>
    <row r="68">
      <c r="B68" s="7" t="n"/>
      <c r="C68" s="7" t="n"/>
      <c r="D68" s="7">
        <f>IF(OR(B68="",C68=""),"",B68+C68)</f>
        <v/>
      </c>
      <c r="E68" s="7">
        <f>IF(D68="","",MAX($D$2:D68))</f>
        <v/>
      </c>
      <c r="F68" s="7">
        <f>IF(OR(E68="",D68=""),"",E68-D68)</f>
        <v/>
      </c>
      <c r="G68" s="8">
        <f>IF(OR(E68="",F68="",E68=0),"",F68/E68)</f>
        <v/>
      </c>
      <c r="H68" s="7" t="n"/>
      <c r="I68" s="7">
        <f>IF(OR(H68="",F68=""),"",H68-F68)</f>
        <v/>
      </c>
      <c r="J68">
        <f>IF(I68="","",IF(I68&lt;=0,"BREACH",IF(I68&lt;=500,"WARNING","OK")))</f>
        <v/>
      </c>
    </row>
    <row r="69">
      <c r="B69" s="7" t="n"/>
      <c r="C69" s="7" t="n"/>
      <c r="D69" s="7">
        <f>IF(OR(B69="",C69=""),"",B69+C69)</f>
        <v/>
      </c>
      <c r="E69" s="7">
        <f>IF(D69="","",MAX($D$2:D69))</f>
        <v/>
      </c>
      <c r="F69" s="7">
        <f>IF(OR(E69="",D69=""),"",E69-D69)</f>
        <v/>
      </c>
      <c r="G69" s="8">
        <f>IF(OR(E69="",F69="",E69=0),"",F69/E69)</f>
        <v/>
      </c>
      <c r="H69" s="7" t="n"/>
      <c r="I69" s="7">
        <f>IF(OR(H69="",F69=""),"",H69-F69)</f>
        <v/>
      </c>
      <c r="J69">
        <f>IF(I69="","",IF(I69&lt;=0,"BREACH",IF(I69&lt;=500,"WARNING","OK")))</f>
        <v/>
      </c>
    </row>
    <row r="70">
      <c r="B70" s="7" t="n"/>
      <c r="C70" s="7" t="n"/>
      <c r="D70" s="7">
        <f>IF(OR(B70="",C70=""),"",B70+C70)</f>
        <v/>
      </c>
      <c r="E70" s="7">
        <f>IF(D70="","",MAX($D$2:D70))</f>
        <v/>
      </c>
      <c r="F70" s="7">
        <f>IF(OR(E70="",D70=""),"",E70-D70)</f>
        <v/>
      </c>
      <c r="G70" s="8">
        <f>IF(OR(E70="",F70="",E70=0),"",F70/E70)</f>
        <v/>
      </c>
      <c r="H70" s="7" t="n"/>
      <c r="I70" s="7">
        <f>IF(OR(H70="",F70=""),"",H70-F70)</f>
        <v/>
      </c>
      <c r="J70">
        <f>IF(I70="","",IF(I70&lt;=0,"BREACH",IF(I70&lt;=500,"WARNING","OK")))</f>
        <v/>
      </c>
    </row>
    <row r="71">
      <c r="B71" s="7" t="n"/>
      <c r="C71" s="7" t="n"/>
      <c r="D71" s="7">
        <f>IF(OR(B71="",C71=""),"",B71+C71)</f>
        <v/>
      </c>
      <c r="E71" s="7">
        <f>IF(D71="","",MAX($D$2:D71))</f>
        <v/>
      </c>
      <c r="F71" s="7">
        <f>IF(OR(E71="",D71=""),"",E71-D71)</f>
        <v/>
      </c>
      <c r="G71" s="8">
        <f>IF(OR(E71="",F71="",E71=0),"",F71/E71)</f>
        <v/>
      </c>
      <c r="H71" s="7" t="n"/>
      <c r="I71" s="7">
        <f>IF(OR(H71="",F71=""),"",H71-F71)</f>
        <v/>
      </c>
      <c r="J71">
        <f>IF(I71="","",IF(I71&lt;=0,"BREACH",IF(I71&lt;=500,"WARNING","OK")))</f>
        <v/>
      </c>
    </row>
    <row r="72">
      <c r="B72" s="7" t="n"/>
      <c r="C72" s="7" t="n"/>
      <c r="D72" s="7">
        <f>IF(OR(B72="",C72=""),"",B72+C72)</f>
        <v/>
      </c>
      <c r="E72" s="7">
        <f>IF(D72="","",MAX($D$2:D72))</f>
        <v/>
      </c>
      <c r="F72" s="7">
        <f>IF(OR(E72="",D72=""),"",E72-D72)</f>
        <v/>
      </c>
      <c r="G72" s="8">
        <f>IF(OR(E72="",F72="",E72=0),"",F72/E72)</f>
        <v/>
      </c>
      <c r="H72" s="7" t="n"/>
      <c r="I72" s="7">
        <f>IF(OR(H72="",F72=""),"",H72-F72)</f>
        <v/>
      </c>
      <c r="J72">
        <f>IF(I72="","",IF(I72&lt;=0,"BREACH",IF(I72&lt;=500,"WARNING","OK")))</f>
        <v/>
      </c>
    </row>
    <row r="73">
      <c r="B73" s="7" t="n"/>
      <c r="C73" s="7" t="n"/>
      <c r="D73" s="7">
        <f>IF(OR(B73="",C73=""),"",B73+C73)</f>
        <v/>
      </c>
      <c r="E73" s="7">
        <f>IF(D73="","",MAX($D$2:D73))</f>
        <v/>
      </c>
      <c r="F73" s="7">
        <f>IF(OR(E73="",D73=""),"",E73-D73)</f>
        <v/>
      </c>
      <c r="G73" s="8">
        <f>IF(OR(E73="",F73="",E73=0),"",F73/E73)</f>
        <v/>
      </c>
      <c r="H73" s="7" t="n"/>
      <c r="I73" s="7">
        <f>IF(OR(H73="",F73=""),"",H73-F73)</f>
        <v/>
      </c>
      <c r="J73">
        <f>IF(I73="","",IF(I73&lt;=0,"BREACH",IF(I73&lt;=500,"WARNING","OK")))</f>
        <v/>
      </c>
    </row>
    <row r="74">
      <c r="B74" s="7" t="n"/>
      <c r="C74" s="7" t="n"/>
      <c r="D74" s="7">
        <f>IF(OR(B74="",C74=""),"",B74+C74)</f>
        <v/>
      </c>
      <c r="E74" s="7">
        <f>IF(D74="","",MAX($D$2:D74))</f>
        <v/>
      </c>
      <c r="F74" s="7">
        <f>IF(OR(E74="",D74=""),"",E74-D74)</f>
        <v/>
      </c>
      <c r="G74" s="8">
        <f>IF(OR(E74="",F74="",E74=0),"",F74/E74)</f>
        <v/>
      </c>
      <c r="H74" s="7" t="n"/>
      <c r="I74" s="7">
        <f>IF(OR(H74="",F74=""),"",H74-F74)</f>
        <v/>
      </c>
      <c r="J74">
        <f>IF(I74="","",IF(I74&lt;=0,"BREACH",IF(I74&lt;=500,"WARNING","OK")))</f>
        <v/>
      </c>
    </row>
    <row r="75">
      <c r="B75" s="7" t="n"/>
      <c r="C75" s="7" t="n"/>
      <c r="D75" s="7">
        <f>IF(OR(B75="",C75=""),"",B75+C75)</f>
        <v/>
      </c>
      <c r="E75" s="7">
        <f>IF(D75="","",MAX($D$2:D75))</f>
        <v/>
      </c>
      <c r="F75" s="7">
        <f>IF(OR(E75="",D75=""),"",E75-D75)</f>
        <v/>
      </c>
      <c r="G75" s="8">
        <f>IF(OR(E75="",F75="",E75=0),"",F75/E75)</f>
        <v/>
      </c>
      <c r="H75" s="7" t="n"/>
      <c r="I75" s="7">
        <f>IF(OR(H75="",F75=""),"",H75-F75)</f>
        <v/>
      </c>
      <c r="J75">
        <f>IF(I75="","",IF(I75&lt;=0,"BREACH",IF(I75&lt;=500,"WARNING","OK")))</f>
        <v/>
      </c>
    </row>
    <row r="76">
      <c r="B76" s="7" t="n"/>
      <c r="C76" s="7" t="n"/>
      <c r="D76" s="7">
        <f>IF(OR(B76="",C76=""),"",B76+C76)</f>
        <v/>
      </c>
      <c r="E76" s="7">
        <f>IF(D76="","",MAX($D$2:D76))</f>
        <v/>
      </c>
      <c r="F76" s="7">
        <f>IF(OR(E76="",D76=""),"",E76-D76)</f>
        <v/>
      </c>
      <c r="G76" s="8">
        <f>IF(OR(E76="",F76="",E76=0),"",F76/E76)</f>
        <v/>
      </c>
      <c r="H76" s="7" t="n"/>
      <c r="I76" s="7">
        <f>IF(OR(H76="",F76=""),"",H76-F76)</f>
        <v/>
      </c>
      <c r="J76">
        <f>IF(I76="","",IF(I76&lt;=0,"BREACH",IF(I76&lt;=500,"WARNING","OK")))</f>
        <v/>
      </c>
    </row>
    <row r="77">
      <c r="B77" s="7" t="n"/>
      <c r="C77" s="7" t="n"/>
      <c r="D77" s="7">
        <f>IF(OR(B77="",C77=""),"",B77+C77)</f>
        <v/>
      </c>
      <c r="E77" s="7">
        <f>IF(D77="","",MAX($D$2:D77))</f>
        <v/>
      </c>
      <c r="F77" s="7">
        <f>IF(OR(E77="",D77=""),"",E77-D77)</f>
        <v/>
      </c>
      <c r="G77" s="8">
        <f>IF(OR(E77="",F77="",E77=0),"",F77/E77)</f>
        <v/>
      </c>
      <c r="H77" s="7" t="n"/>
      <c r="I77" s="7">
        <f>IF(OR(H77="",F77=""),"",H77-F77)</f>
        <v/>
      </c>
      <c r="J77">
        <f>IF(I77="","",IF(I77&lt;=0,"BREACH",IF(I77&lt;=500,"WARNING","OK")))</f>
        <v/>
      </c>
    </row>
    <row r="78">
      <c r="B78" s="7" t="n"/>
      <c r="C78" s="7" t="n"/>
      <c r="D78" s="7">
        <f>IF(OR(B78="",C78=""),"",B78+C78)</f>
        <v/>
      </c>
      <c r="E78" s="7">
        <f>IF(D78="","",MAX($D$2:D78))</f>
        <v/>
      </c>
      <c r="F78" s="7">
        <f>IF(OR(E78="",D78=""),"",E78-D78)</f>
        <v/>
      </c>
      <c r="G78" s="8">
        <f>IF(OR(E78="",F78="",E78=0),"",F78/E78)</f>
        <v/>
      </c>
      <c r="H78" s="7" t="n"/>
      <c r="I78" s="7">
        <f>IF(OR(H78="",F78=""),"",H78-F78)</f>
        <v/>
      </c>
      <c r="J78">
        <f>IF(I78="","",IF(I78&lt;=0,"BREACH",IF(I78&lt;=500,"WARNING","OK")))</f>
        <v/>
      </c>
    </row>
    <row r="79">
      <c r="B79" s="7" t="n"/>
      <c r="C79" s="7" t="n"/>
      <c r="D79" s="7">
        <f>IF(OR(B79="",C79=""),"",B79+C79)</f>
        <v/>
      </c>
      <c r="E79" s="7">
        <f>IF(D79="","",MAX($D$2:D79))</f>
        <v/>
      </c>
      <c r="F79" s="7">
        <f>IF(OR(E79="",D79=""),"",E79-D79)</f>
        <v/>
      </c>
      <c r="G79" s="8">
        <f>IF(OR(E79="",F79="",E79=0),"",F79/E79)</f>
        <v/>
      </c>
      <c r="H79" s="7" t="n"/>
      <c r="I79" s="7">
        <f>IF(OR(H79="",F79=""),"",H79-F79)</f>
        <v/>
      </c>
      <c r="J79">
        <f>IF(I79="","",IF(I79&lt;=0,"BREACH",IF(I79&lt;=500,"WARNING","OK")))</f>
        <v/>
      </c>
    </row>
    <row r="80">
      <c r="B80" s="7" t="n"/>
      <c r="C80" s="7" t="n"/>
      <c r="D80" s="7">
        <f>IF(OR(B80="",C80=""),"",B80+C80)</f>
        <v/>
      </c>
      <c r="E80" s="7">
        <f>IF(D80="","",MAX($D$2:D80))</f>
        <v/>
      </c>
      <c r="F80" s="7">
        <f>IF(OR(E80="",D80=""),"",E80-D80)</f>
        <v/>
      </c>
      <c r="G80" s="8">
        <f>IF(OR(E80="",F80="",E80=0),"",F80/E80)</f>
        <v/>
      </c>
      <c r="H80" s="7" t="n"/>
      <c r="I80" s="7">
        <f>IF(OR(H80="",F80=""),"",H80-F80)</f>
        <v/>
      </c>
      <c r="J80">
        <f>IF(I80="","",IF(I80&lt;=0,"BREACH",IF(I80&lt;=500,"WARNING","OK")))</f>
        <v/>
      </c>
    </row>
    <row r="81">
      <c r="B81" s="7" t="n"/>
      <c r="C81" s="7" t="n"/>
      <c r="D81" s="7">
        <f>IF(OR(B81="",C81=""),"",B81+C81)</f>
        <v/>
      </c>
      <c r="E81" s="7">
        <f>IF(D81="","",MAX($D$2:D81))</f>
        <v/>
      </c>
      <c r="F81" s="7">
        <f>IF(OR(E81="",D81=""),"",E81-D81)</f>
        <v/>
      </c>
      <c r="G81" s="8">
        <f>IF(OR(E81="",F81="",E81=0),"",F81/E81)</f>
        <v/>
      </c>
      <c r="H81" s="7" t="n"/>
      <c r="I81" s="7">
        <f>IF(OR(H81="",F81=""),"",H81-F81)</f>
        <v/>
      </c>
      <c r="J81">
        <f>IF(I81="","",IF(I81&lt;=0,"BREACH",IF(I81&lt;=500,"WARNING","OK")))</f>
        <v/>
      </c>
    </row>
    <row r="82">
      <c r="B82" s="7" t="n"/>
      <c r="C82" s="7" t="n"/>
      <c r="D82" s="7">
        <f>IF(OR(B82="",C82=""),"",B82+C82)</f>
        <v/>
      </c>
      <c r="E82" s="7">
        <f>IF(D82="","",MAX($D$2:D82))</f>
        <v/>
      </c>
      <c r="F82" s="7">
        <f>IF(OR(E82="",D82=""),"",E82-D82)</f>
        <v/>
      </c>
      <c r="G82" s="8">
        <f>IF(OR(E82="",F82="",E82=0),"",F82/E82)</f>
        <v/>
      </c>
      <c r="H82" s="7" t="n"/>
      <c r="I82" s="7">
        <f>IF(OR(H82="",F82=""),"",H82-F82)</f>
        <v/>
      </c>
      <c r="J82">
        <f>IF(I82="","",IF(I82&lt;=0,"BREACH",IF(I82&lt;=500,"WARNING","OK")))</f>
        <v/>
      </c>
    </row>
    <row r="83">
      <c r="B83" s="7" t="n"/>
      <c r="C83" s="7" t="n"/>
      <c r="D83" s="7">
        <f>IF(OR(B83="",C83=""),"",B83+C83)</f>
        <v/>
      </c>
      <c r="E83" s="7">
        <f>IF(D83="","",MAX($D$2:D83))</f>
        <v/>
      </c>
      <c r="F83" s="7">
        <f>IF(OR(E83="",D83=""),"",E83-D83)</f>
        <v/>
      </c>
      <c r="G83" s="8">
        <f>IF(OR(E83="",F83="",E83=0),"",F83/E83)</f>
        <v/>
      </c>
      <c r="H83" s="7" t="n"/>
      <c r="I83" s="7">
        <f>IF(OR(H83="",F83=""),"",H83-F83)</f>
        <v/>
      </c>
      <c r="J83">
        <f>IF(I83="","",IF(I83&lt;=0,"BREACH",IF(I83&lt;=500,"WARNING","OK")))</f>
        <v/>
      </c>
    </row>
    <row r="84">
      <c r="B84" s="7" t="n"/>
      <c r="C84" s="7" t="n"/>
      <c r="D84" s="7">
        <f>IF(OR(B84="",C84=""),"",B84+C84)</f>
        <v/>
      </c>
      <c r="E84" s="7">
        <f>IF(D84="","",MAX($D$2:D84))</f>
        <v/>
      </c>
      <c r="F84" s="7">
        <f>IF(OR(E84="",D84=""),"",E84-D84)</f>
        <v/>
      </c>
      <c r="G84" s="8">
        <f>IF(OR(E84="",F84="",E84=0),"",F84/E84)</f>
        <v/>
      </c>
      <c r="H84" s="7" t="n"/>
      <c r="I84" s="7">
        <f>IF(OR(H84="",F84=""),"",H84-F84)</f>
        <v/>
      </c>
      <c r="J84">
        <f>IF(I84="","",IF(I84&lt;=0,"BREACH",IF(I84&lt;=500,"WARNING","OK")))</f>
        <v/>
      </c>
    </row>
    <row r="85">
      <c r="B85" s="7" t="n"/>
      <c r="C85" s="7" t="n"/>
      <c r="D85" s="7">
        <f>IF(OR(B85="",C85=""),"",B85+C85)</f>
        <v/>
      </c>
      <c r="E85" s="7">
        <f>IF(D85="","",MAX($D$2:D85))</f>
        <v/>
      </c>
      <c r="F85" s="7">
        <f>IF(OR(E85="",D85=""),"",E85-D85)</f>
        <v/>
      </c>
      <c r="G85" s="8">
        <f>IF(OR(E85="",F85="",E85=0),"",F85/E85)</f>
        <v/>
      </c>
      <c r="H85" s="7" t="n"/>
      <c r="I85" s="7">
        <f>IF(OR(H85="",F85=""),"",H85-F85)</f>
        <v/>
      </c>
      <c r="J85">
        <f>IF(I85="","",IF(I85&lt;=0,"BREACH",IF(I85&lt;=500,"WARNING","OK")))</f>
        <v/>
      </c>
    </row>
    <row r="86">
      <c r="B86" s="7" t="n"/>
      <c r="C86" s="7" t="n"/>
      <c r="D86" s="7">
        <f>IF(OR(B86="",C86=""),"",B86+C86)</f>
        <v/>
      </c>
      <c r="E86" s="7">
        <f>IF(D86="","",MAX($D$2:D86))</f>
        <v/>
      </c>
      <c r="F86" s="7">
        <f>IF(OR(E86="",D86=""),"",E86-D86)</f>
        <v/>
      </c>
      <c r="G86" s="8">
        <f>IF(OR(E86="",F86="",E86=0),"",F86/E86)</f>
        <v/>
      </c>
      <c r="H86" s="7" t="n"/>
      <c r="I86" s="7">
        <f>IF(OR(H86="",F86=""),"",H86-F86)</f>
        <v/>
      </c>
      <c r="J86">
        <f>IF(I86="","",IF(I86&lt;=0,"BREACH",IF(I86&lt;=500,"WARNING","OK")))</f>
        <v/>
      </c>
    </row>
    <row r="87">
      <c r="B87" s="7" t="n"/>
      <c r="C87" s="7" t="n"/>
      <c r="D87" s="7">
        <f>IF(OR(B87="",C87=""),"",B87+C87)</f>
        <v/>
      </c>
      <c r="E87" s="7">
        <f>IF(D87="","",MAX($D$2:D87))</f>
        <v/>
      </c>
      <c r="F87" s="7">
        <f>IF(OR(E87="",D87=""),"",E87-D87)</f>
        <v/>
      </c>
      <c r="G87" s="8">
        <f>IF(OR(E87="",F87="",E87=0),"",F87/E87)</f>
        <v/>
      </c>
      <c r="H87" s="7" t="n"/>
      <c r="I87" s="7">
        <f>IF(OR(H87="",F87=""),"",H87-F87)</f>
        <v/>
      </c>
      <c r="J87">
        <f>IF(I87="","",IF(I87&lt;=0,"BREACH",IF(I87&lt;=500,"WARNING","OK")))</f>
        <v/>
      </c>
    </row>
    <row r="88">
      <c r="B88" s="7" t="n"/>
      <c r="C88" s="7" t="n"/>
      <c r="D88" s="7">
        <f>IF(OR(B88="",C88=""),"",B88+C88)</f>
        <v/>
      </c>
      <c r="E88" s="7">
        <f>IF(D88="","",MAX($D$2:D88))</f>
        <v/>
      </c>
      <c r="F88" s="7">
        <f>IF(OR(E88="",D88=""),"",E88-D88)</f>
        <v/>
      </c>
      <c r="G88" s="8">
        <f>IF(OR(E88="",F88="",E88=0),"",F88/E88)</f>
        <v/>
      </c>
      <c r="H88" s="7" t="n"/>
      <c r="I88" s="7">
        <f>IF(OR(H88="",F88=""),"",H88-F88)</f>
        <v/>
      </c>
      <c r="J88">
        <f>IF(I88="","",IF(I88&lt;=0,"BREACH",IF(I88&lt;=500,"WARNING","OK")))</f>
        <v/>
      </c>
    </row>
    <row r="89">
      <c r="B89" s="7" t="n"/>
      <c r="C89" s="7" t="n"/>
      <c r="D89" s="7">
        <f>IF(OR(B89="",C89=""),"",B89+C89)</f>
        <v/>
      </c>
      <c r="E89" s="7">
        <f>IF(D89="","",MAX($D$2:D89))</f>
        <v/>
      </c>
      <c r="F89" s="7">
        <f>IF(OR(E89="",D89=""),"",E89-D89)</f>
        <v/>
      </c>
      <c r="G89" s="8">
        <f>IF(OR(E89="",F89="",E89=0),"",F89/E89)</f>
        <v/>
      </c>
      <c r="H89" s="7" t="n"/>
      <c r="I89" s="7">
        <f>IF(OR(H89="",F89=""),"",H89-F89)</f>
        <v/>
      </c>
      <c r="J89">
        <f>IF(I89="","",IF(I89&lt;=0,"BREACH",IF(I89&lt;=500,"WARNING","OK")))</f>
        <v/>
      </c>
    </row>
    <row r="90">
      <c r="B90" s="7" t="n"/>
      <c r="C90" s="7" t="n"/>
      <c r="D90" s="7">
        <f>IF(OR(B90="",C90=""),"",B90+C90)</f>
        <v/>
      </c>
      <c r="E90" s="7">
        <f>IF(D90="","",MAX($D$2:D90))</f>
        <v/>
      </c>
      <c r="F90" s="7">
        <f>IF(OR(E90="",D90=""),"",E90-D90)</f>
        <v/>
      </c>
      <c r="G90" s="8">
        <f>IF(OR(E90="",F90="",E90=0),"",F90/E90)</f>
        <v/>
      </c>
      <c r="H90" s="7" t="n"/>
      <c r="I90" s="7">
        <f>IF(OR(H90="",F90=""),"",H90-F90)</f>
        <v/>
      </c>
      <c r="J90">
        <f>IF(I90="","",IF(I90&lt;=0,"BREACH",IF(I90&lt;=500,"WARNING","OK")))</f>
        <v/>
      </c>
    </row>
    <row r="91">
      <c r="B91" s="7" t="n"/>
      <c r="C91" s="7" t="n"/>
      <c r="D91" s="7">
        <f>IF(OR(B91="",C91=""),"",B91+C91)</f>
        <v/>
      </c>
      <c r="E91" s="7">
        <f>IF(D91="","",MAX($D$2:D91))</f>
        <v/>
      </c>
      <c r="F91" s="7">
        <f>IF(OR(E91="",D91=""),"",E91-D91)</f>
        <v/>
      </c>
      <c r="G91" s="8">
        <f>IF(OR(E91="",F91="",E91=0),"",F91/E91)</f>
        <v/>
      </c>
      <c r="H91" s="7" t="n"/>
      <c r="I91" s="7">
        <f>IF(OR(H91="",F91=""),"",H91-F91)</f>
        <v/>
      </c>
      <c r="J91">
        <f>IF(I91="","",IF(I91&lt;=0,"BREACH",IF(I91&lt;=500,"WARNING","OK")))</f>
        <v/>
      </c>
    </row>
    <row r="92">
      <c r="B92" s="7" t="n"/>
      <c r="C92" s="7" t="n"/>
      <c r="D92" s="7">
        <f>IF(OR(B92="",C92=""),"",B92+C92)</f>
        <v/>
      </c>
      <c r="E92" s="7">
        <f>IF(D92="","",MAX($D$2:D92))</f>
        <v/>
      </c>
      <c r="F92" s="7">
        <f>IF(OR(E92="",D92=""),"",E92-D92)</f>
        <v/>
      </c>
      <c r="G92" s="8">
        <f>IF(OR(E92="",F92="",E92=0),"",F92/E92)</f>
        <v/>
      </c>
      <c r="H92" s="7" t="n"/>
      <c r="I92" s="7">
        <f>IF(OR(H92="",F92=""),"",H92-F92)</f>
        <v/>
      </c>
      <c r="J92">
        <f>IF(I92="","",IF(I92&lt;=0,"BREACH",IF(I92&lt;=500,"WARNING","OK")))</f>
        <v/>
      </c>
    </row>
    <row r="93">
      <c r="B93" s="7" t="n"/>
      <c r="C93" s="7" t="n"/>
      <c r="D93" s="7">
        <f>IF(OR(B93="",C93=""),"",B93+C93)</f>
        <v/>
      </c>
      <c r="E93" s="7">
        <f>IF(D93="","",MAX($D$2:D93))</f>
        <v/>
      </c>
      <c r="F93" s="7">
        <f>IF(OR(E93="",D93=""),"",E93-D93)</f>
        <v/>
      </c>
      <c r="G93" s="8">
        <f>IF(OR(E93="",F93="",E93=0),"",F93/E93)</f>
        <v/>
      </c>
      <c r="H93" s="7" t="n"/>
      <c r="I93" s="7">
        <f>IF(OR(H93="",F93=""),"",H93-F93)</f>
        <v/>
      </c>
      <c r="J93">
        <f>IF(I93="","",IF(I93&lt;=0,"BREACH",IF(I93&lt;=500,"WARNING","OK")))</f>
        <v/>
      </c>
    </row>
    <row r="94">
      <c r="B94" s="7" t="n"/>
      <c r="C94" s="7" t="n"/>
      <c r="D94" s="7">
        <f>IF(OR(B94="",C94=""),"",B94+C94)</f>
        <v/>
      </c>
      <c r="E94" s="7">
        <f>IF(D94="","",MAX($D$2:D94))</f>
        <v/>
      </c>
      <c r="F94" s="7">
        <f>IF(OR(E94="",D94=""),"",E94-D94)</f>
        <v/>
      </c>
      <c r="G94" s="8">
        <f>IF(OR(E94="",F94="",E94=0),"",F94/E94)</f>
        <v/>
      </c>
      <c r="H94" s="7" t="n"/>
      <c r="I94" s="7">
        <f>IF(OR(H94="",F94=""),"",H94-F94)</f>
        <v/>
      </c>
      <c r="J94">
        <f>IF(I94="","",IF(I94&lt;=0,"BREACH",IF(I94&lt;=500,"WARNING","OK")))</f>
        <v/>
      </c>
    </row>
    <row r="95">
      <c r="B95" s="7" t="n"/>
      <c r="C95" s="7" t="n"/>
      <c r="D95" s="7">
        <f>IF(OR(B95="",C95=""),"",B95+C95)</f>
        <v/>
      </c>
      <c r="E95" s="7">
        <f>IF(D95="","",MAX($D$2:D95))</f>
        <v/>
      </c>
      <c r="F95" s="7">
        <f>IF(OR(E95="",D95=""),"",E95-D95)</f>
        <v/>
      </c>
      <c r="G95" s="8">
        <f>IF(OR(E95="",F95="",E95=0),"",F95/E95)</f>
        <v/>
      </c>
      <c r="H95" s="7" t="n"/>
      <c r="I95" s="7">
        <f>IF(OR(H95="",F95=""),"",H95-F95)</f>
        <v/>
      </c>
      <c r="J95">
        <f>IF(I95="","",IF(I95&lt;=0,"BREACH",IF(I95&lt;=500,"WARNING","OK")))</f>
        <v/>
      </c>
    </row>
    <row r="96">
      <c r="B96" s="7" t="n"/>
      <c r="C96" s="7" t="n"/>
      <c r="D96" s="7">
        <f>IF(OR(B96="",C96=""),"",B96+C96)</f>
        <v/>
      </c>
      <c r="E96" s="7">
        <f>IF(D96="","",MAX($D$2:D96))</f>
        <v/>
      </c>
      <c r="F96" s="7">
        <f>IF(OR(E96="",D96=""),"",E96-D96)</f>
        <v/>
      </c>
      <c r="G96" s="8">
        <f>IF(OR(E96="",F96="",E96=0),"",F96/E96)</f>
        <v/>
      </c>
      <c r="H96" s="7" t="n"/>
      <c r="I96" s="7">
        <f>IF(OR(H96="",F96=""),"",H96-F96)</f>
        <v/>
      </c>
      <c r="J96">
        <f>IF(I96="","",IF(I96&lt;=0,"BREACH",IF(I96&lt;=500,"WARNING","OK")))</f>
        <v/>
      </c>
    </row>
    <row r="97">
      <c r="B97" s="7" t="n"/>
      <c r="C97" s="7" t="n"/>
      <c r="D97" s="7">
        <f>IF(OR(B97="",C97=""),"",B97+C97)</f>
        <v/>
      </c>
      <c r="E97" s="7">
        <f>IF(D97="","",MAX($D$2:D97))</f>
        <v/>
      </c>
      <c r="F97" s="7">
        <f>IF(OR(E97="",D97=""),"",E97-D97)</f>
        <v/>
      </c>
      <c r="G97" s="8">
        <f>IF(OR(E97="",F97="",E97=0),"",F97/E97)</f>
        <v/>
      </c>
      <c r="H97" s="7" t="n"/>
      <c r="I97" s="7">
        <f>IF(OR(H97="",F97=""),"",H97-F97)</f>
        <v/>
      </c>
      <c r="J97">
        <f>IF(I97="","",IF(I97&lt;=0,"BREACH",IF(I97&lt;=500,"WARNING","OK")))</f>
        <v/>
      </c>
    </row>
    <row r="98">
      <c r="B98" s="7" t="n"/>
      <c r="C98" s="7" t="n"/>
      <c r="D98" s="7">
        <f>IF(OR(B98="",C98=""),"",B98+C98)</f>
        <v/>
      </c>
      <c r="E98" s="7">
        <f>IF(D98="","",MAX($D$2:D98))</f>
        <v/>
      </c>
      <c r="F98" s="7">
        <f>IF(OR(E98="",D98=""),"",E98-D98)</f>
        <v/>
      </c>
      <c r="G98" s="8">
        <f>IF(OR(E98="",F98="",E98=0),"",F98/E98)</f>
        <v/>
      </c>
      <c r="H98" s="7" t="n"/>
      <c r="I98" s="7">
        <f>IF(OR(H98="",F98=""),"",H98-F98)</f>
        <v/>
      </c>
      <c r="J98">
        <f>IF(I98="","",IF(I98&lt;=0,"BREACH",IF(I98&lt;=500,"WARNING","OK")))</f>
        <v/>
      </c>
    </row>
    <row r="99">
      <c r="B99" s="7" t="n"/>
      <c r="C99" s="7" t="n"/>
      <c r="D99" s="7">
        <f>IF(OR(B99="",C99=""),"",B99+C99)</f>
        <v/>
      </c>
      <c r="E99" s="7">
        <f>IF(D99="","",MAX($D$2:D99))</f>
        <v/>
      </c>
      <c r="F99" s="7">
        <f>IF(OR(E99="",D99=""),"",E99-D99)</f>
        <v/>
      </c>
      <c r="G99" s="8">
        <f>IF(OR(E99="",F99="",E99=0),"",F99/E99)</f>
        <v/>
      </c>
      <c r="H99" s="7" t="n"/>
      <c r="I99" s="7">
        <f>IF(OR(H99="",F99=""),"",H99-F99)</f>
        <v/>
      </c>
      <c r="J99">
        <f>IF(I99="","",IF(I99&lt;=0,"BREACH",IF(I99&lt;=500,"WARNING","OK")))</f>
        <v/>
      </c>
    </row>
    <row r="100">
      <c r="B100" s="7" t="n"/>
      <c r="C100" s="7" t="n"/>
      <c r="D100" s="7">
        <f>IF(OR(B100="",C100=""),"",B100+C100)</f>
        <v/>
      </c>
      <c r="E100" s="7">
        <f>IF(D100="","",MAX($D$2:D100))</f>
        <v/>
      </c>
      <c r="F100" s="7">
        <f>IF(OR(E100="",D100=""),"",E100-D100)</f>
        <v/>
      </c>
      <c r="G100" s="8">
        <f>IF(OR(E100="",F100="",E100=0),"",F100/E100)</f>
        <v/>
      </c>
      <c r="H100" s="7" t="n"/>
      <c r="I100" s="7">
        <f>IF(OR(H100="",F100=""),"",H100-F100)</f>
        <v/>
      </c>
      <c r="J100">
        <f>IF(I100="","",IF(I100&lt;=0,"BREACH",IF(I100&lt;=500,"WARNING","OK")))</f>
        <v/>
      </c>
    </row>
    <row r="101">
      <c r="B101" s="7" t="n"/>
      <c r="C101" s="7" t="n"/>
      <c r="D101" s="7">
        <f>IF(OR(B101="",C101=""),"",B101+C101)</f>
        <v/>
      </c>
      <c r="E101" s="7">
        <f>IF(D101="","",MAX($D$2:D101))</f>
        <v/>
      </c>
      <c r="F101" s="7">
        <f>IF(OR(E101="",D101=""),"",E101-D101)</f>
        <v/>
      </c>
      <c r="G101" s="8">
        <f>IF(OR(E101="",F101="",E101=0),"",F101/E101)</f>
        <v/>
      </c>
      <c r="H101" s="7" t="n"/>
      <c r="I101" s="7">
        <f>IF(OR(H101="",F101=""),"",H101-F101)</f>
        <v/>
      </c>
      <c r="J101">
        <f>IF(I101="","",IF(I101&lt;=0,"BREACH",IF(I101&lt;=500,"WARNING","OK")))</f>
        <v/>
      </c>
    </row>
    <row r="102">
      <c r="B102" s="7" t="n"/>
      <c r="C102" s="7" t="n"/>
      <c r="D102" s="7">
        <f>IF(OR(B102="",C102=""),"",B102+C102)</f>
        <v/>
      </c>
      <c r="E102" s="7">
        <f>IF(D102="","",MAX($D$2:D102))</f>
        <v/>
      </c>
      <c r="F102" s="7">
        <f>IF(OR(E102="",D102=""),"",E102-D102)</f>
        <v/>
      </c>
      <c r="G102" s="8">
        <f>IF(OR(E102="",F102="",E102=0),"",F102/E102)</f>
        <v/>
      </c>
      <c r="H102" s="7" t="n"/>
      <c r="I102" s="7">
        <f>IF(OR(H102="",F102=""),"",H102-F102)</f>
        <v/>
      </c>
      <c r="J102">
        <f>IF(I102="","",IF(I102&lt;=0,"BREACH",IF(I102&lt;=500,"WARNING","OK")))</f>
        <v/>
      </c>
    </row>
    <row r="103">
      <c r="B103" s="7" t="n"/>
      <c r="C103" s="7" t="n"/>
      <c r="D103" s="7">
        <f>IF(OR(B103="",C103=""),"",B103+C103)</f>
        <v/>
      </c>
      <c r="E103" s="7">
        <f>IF(D103="","",MAX($D$2:D103))</f>
        <v/>
      </c>
      <c r="F103" s="7">
        <f>IF(OR(E103="",D103=""),"",E103-D103)</f>
        <v/>
      </c>
      <c r="G103" s="8">
        <f>IF(OR(E103="",F103="",E103=0),"",F103/E103)</f>
        <v/>
      </c>
      <c r="H103" s="7" t="n"/>
      <c r="I103" s="7">
        <f>IF(OR(H103="",F103=""),"",H103-F103)</f>
        <v/>
      </c>
      <c r="J103">
        <f>IF(I103="","",IF(I103&lt;=0,"BREACH",IF(I103&lt;=500,"WARNING","OK")))</f>
        <v/>
      </c>
    </row>
    <row r="104">
      <c r="B104" s="7" t="n"/>
      <c r="C104" s="7" t="n"/>
      <c r="D104" s="7">
        <f>IF(OR(B104="",C104=""),"",B104+C104)</f>
        <v/>
      </c>
      <c r="E104" s="7">
        <f>IF(D104="","",MAX($D$2:D104))</f>
        <v/>
      </c>
      <c r="F104" s="7">
        <f>IF(OR(E104="",D104=""),"",E104-D104)</f>
        <v/>
      </c>
      <c r="G104" s="8">
        <f>IF(OR(E104="",F104="",E104=0),"",F104/E104)</f>
        <v/>
      </c>
      <c r="H104" s="7" t="n"/>
      <c r="I104" s="7">
        <f>IF(OR(H104="",F104=""),"",H104-F104)</f>
        <v/>
      </c>
      <c r="J104">
        <f>IF(I104="","",IF(I104&lt;=0,"BREACH",IF(I104&lt;=500,"WARNING","OK")))</f>
        <v/>
      </c>
    </row>
    <row r="105">
      <c r="B105" s="7" t="n"/>
      <c r="C105" s="7" t="n"/>
      <c r="D105" s="7">
        <f>IF(OR(B105="",C105=""),"",B105+C105)</f>
        <v/>
      </c>
      <c r="E105" s="7">
        <f>IF(D105="","",MAX($D$2:D105))</f>
        <v/>
      </c>
      <c r="F105" s="7">
        <f>IF(OR(E105="",D105=""),"",E105-D105)</f>
        <v/>
      </c>
      <c r="G105" s="8">
        <f>IF(OR(E105="",F105="",E105=0),"",F105/E105)</f>
        <v/>
      </c>
      <c r="H105" s="7" t="n"/>
      <c r="I105" s="7">
        <f>IF(OR(H105="",F105=""),"",H105-F105)</f>
        <v/>
      </c>
      <c r="J105">
        <f>IF(I105="","",IF(I105&lt;=0,"BREACH",IF(I105&lt;=500,"WARNING","OK")))</f>
        <v/>
      </c>
    </row>
    <row r="106">
      <c r="B106" s="7" t="n"/>
      <c r="C106" s="7" t="n"/>
      <c r="D106" s="7">
        <f>IF(OR(B106="",C106=""),"",B106+C106)</f>
        <v/>
      </c>
      <c r="E106" s="7">
        <f>IF(D106="","",MAX($D$2:D106))</f>
        <v/>
      </c>
      <c r="F106" s="7">
        <f>IF(OR(E106="",D106=""),"",E106-D106)</f>
        <v/>
      </c>
      <c r="G106" s="8">
        <f>IF(OR(E106="",F106="",E106=0),"",F106/E106)</f>
        <v/>
      </c>
      <c r="H106" s="7" t="n"/>
      <c r="I106" s="7">
        <f>IF(OR(H106="",F106=""),"",H106-F106)</f>
        <v/>
      </c>
      <c r="J106">
        <f>IF(I106="","",IF(I106&lt;=0,"BREACH",IF(I106&lt;=500,"WARNING","OK")))</f>
        <v/>
      </c>
    </row>
    <row r="107">
      <c r="B107" s="7" t="n"/>
      <c r="C107" s="7" t="n"/>
      <c r="D107" s="7">
        <f>IF(OR(B107="",C107=""),"",B107+C107)</f>
        <v/>
      </c>
      <c r="E107" s="7">
        <f>IF(D107="","",MAX($D$2:D107))</f>
        <v/>
      </c>
      <c r="F107" s="7">
        <f>IF(OR(E107="",D107=""),"",E107-D107)</f>
        <v/>
      </c>
      <c r="G107" s="8">
        <f>IF(OR(E107="",F107="",E107=0),"",F107/E107)</f>
        <v/>
      </c>
      <c r="H107" s="7" t="n"/>
      <c r="I107" s="7">
        <f>IF(OR(H107="",F107=""),"",H107-F107)</f>
        <v/>
      </c>
      <c r="J107">
        <f>IF(I107="","",IF(I107&lt;=0,"BREACH",IF(I107&lt;=500,"WARNING","OK")))</f>
        <v/>
      </c>
    </row>
    <row r="108">
      <c r="B108" s="7" t="n"/>
      <c r="C108" s="7" t="n"/>
      <c r="D108" s="7">
        <f>IF(OR(B108="",C108=""),"",B108+C108)</f>
        <v/>
      </c>
      <c r="E108" s="7">
        <f>IF(D108="","",MAX($D$2:D108))</f>
        <v/>
      </c>
      <c r="F108" s="7">
        <f>IF(OR(E108="",D108=""),"",E108-D108)</f>
        <v/>
      </c>
      <c r="G108" s="8">
        <f>IF(OR(E108="",F108="",E108=0),"",F108/E108)</f>
        <v/>
      </c>
      <c r="H108" s="7" t="n"/>
      <c r="I108" s="7">
        <f>IF(OR(H108="",F108=""),"",H108-F108)</f>
        <v/>
      </c>
      <c r="J108">
        <f>IF(I108="","",IF(I108&lt;=0,"BREACH",IF(I108&lt;=500,"WARNING","OK")))</f>
        <v/>
      </c>
    </row>
    <row r="109">
      <c r="B109" s="7" t="n"/>
      <c r="C109" s="7" t="n"/>
      <c r="D109" s="7">
        <f>IF(OR(B109="",C109=""),"",B109+C109)</f>
        <v/>
      </c>
      <c r="E109" s="7">
        <f>IF(D109="","",MAX($D$2:D109))</f>
        <v/>
      </c>
      <c r="F109" s="7">
        <f>IF(OR(E109="",D109=""),"",E109-D109)</f>
        <v/>
      </c>
      <c r="G109" s="8">
        <f>IF(OR(E109="",F109="",E109=0),"",F109/E109)</f>
        <v/>
      </c>
      <c r="H109" s="7" t="n"/>
      <c r="I109" s="7">
        <f>IF(OR(H109="",F109=""),"",H109-F109)</f>
        <v/>
      </c>
      <c r="J109">
        <f>IF(I109="","",IF(I109&lt;=0,"BREACH",IF(I109&lt;=500,"WARNING","OK")))</f>
        <v/>
      </c>
    </row>
    <row r="110">
      <c r="B110" s="7" t="n"/>
      <c r="C110" s="7" t="n"/>
      <c r="D110" s="7">
        <f>IF(OR(B110="",C110=""),"",B110+C110)</f>
        <v/>
      </c>
      <c r="E110" s="7">
        <f>IF(D110="","",MAX($D$2:D110))</f>
        <v/>
      </c>
      <c r="F110" s="7">
        <f>IF(OR(E110="",D110=""),"",E110-D110)</f>
        <v/>
      </c>
      <c r="G110" s="8">
        <f>IF(OR(E110="",F110="",E110=0),"",F110/E110)</f>
        <v/>
      </c>
      <c r="H110" s="7" t="n"/>
      <c r="I110" s="7">
        <f>IF(OR(H110="",F110=""),"",H110-F110)</f>
        <v/>
      </c>
      <c r="J110">
        <f>IF(I110="","",IF(I110&lt;=0,"BREACH",IF(I110&lt;=500,"WARNING","OK")))</f>
        <v/>
      </c>
    </row>
    <row r="111">
      <c r="B111" s="7" t="n"/>
      <c r="C111" s="7" t="n"/>
      <c r="D111" s="7">
        <f>IF(OR(B111="",C111=""),"",B111+C111)</f>
        <v/>
      </c>
      <c r="E111" s="7">
        <f>IF(D111="","",MAX($D$2:D111))</f>
        <v/>
      </c>
      <c r="F111" s="7">
        <f>IF(OR(E111="",D111=""),"",E111-D111)</f>
        <v/>
      </c>
      <c r="G111" s="8">
        <f>IF(OR(E111="",F111="",E111=0),"",F111/E111)</f>
        <v/>
      </c>
      <c r="H111" s="7" t="n"/>
      <c r="I111" s="7">
        <f>IF(OR(H111="",F111=""),"",H111-F111)</f>
        <v/>
      </c>
      <c r="J111">
        <f>IF(I111="","",IF(I111&lt;=0,"BREACH",IF(I111&lt;=500,"WARNING","OK")))</f>
        <v/>
      </c>
    </row>
    <row r="112">
      <c r="B112" s="7" t="n"/>
      <c r="C112" s="7" t="n"/>
      <c r="D112" s="7">
        <f>IF(OR(B112="",C112=""),"",B112+C112)</f>
        <v/>
      </c>
      <c r="E112" s="7">
        <f>IF(D112="","",MAX($D$2:D112))</f>
        <v/>
      </c>
      <c r="F112" s="7">
        <f>IF(OR(E112="",D112=""),"",E112-D112)</f>
        <v/>
      </c>
      <c r="G112" s="8">
        <f>IF(OR(E112="",F112="",E112=0),"",F112/E112)</f>
        <v/>
      </c>
      <c r="H112" s="7" t="n"/>
      <c r="I112" s="7">
        <f>IF(OR(H112="",F112=""),"",H112-F112)</f>
        <v/>
      </c>
      <c r="J112">
        <f>IF(I112="","",IF(I112&lt;=0,"BREACH",IF(I112&lt;=500,"WARNING","OK")))</f>
        <v/>
      </c>
    </row>
    <row r="113">
      <c r="B113" s="7" t="n"/>
      <c r="C113" s="7" t="n"/>
      <c r="D113" s="7">
        <f>IF(OR(B113="",C113=""),"",B113+C113)</f>
        <v/>
      </c>
      <c r="E113" s="7">
        <f>IF(D113="","",MAX($D$2:D113))</f>
        <v/>
      </c>
      <c r="F113" s="7">
        <f>IF(OR(E113="",D113=""),"",E113-D113)</f>
        <v/>
      </c>
      <c r="G113" s="8">
        <f>IF(OR(E113="",F113="",E113=0),"",F113/E113)</f>
        <v/>
      </c>
      <c r="H113" s="7" t="n"/>
      <c r="I113" s="7">
        <f>IF(OR(H113="",F113=""),"",H113-F113)</f>
        <v/>
      </c>
      <c r="J113">
        <f>IF(I113="","",IF(I113&lt;=0,"BREACH",IF(I113&lt;=500,"WARNING","OK")))</f>
        <v/>
      </c>
    </row>
    <row r="114">
      <c r="B114" s="7" t="n"/>
      <c r="C114" s="7" t="n"/>
      <c r="D114" s="7">
        <f>IF(OR(B114="",C114=""),"",B114+C114)</f>
        <v/>
      </c>
      <c r="E114" s="7">
        <f>IF(D114="","",MAX($D$2:D114))</f>
        <v/>
      </c>
      <c r="F114" s="7">
        <f>IF(OR(E114="",D114=""),"",E114-D114)</f>
        <v/>
      </c>
      <c r="G114" s="8">
        <f>IF(OR(E114="",F114="",E114=0),"",F114/E114)</f>
        <v/>
      </c>
      <c r="H114" s="7" t="n"/>
      <c r="I114" s="7">
        <f>IF(OR(H114="",F114=""),"",H114-F114)</f>
        <v/>
      </c>
      <c r="J114">
        <f>IF(I114="","",IF(I114&lt;=0,"BREACH",IF(I114&lt;=500,"WARNING","OK")))</f>
        <v/>
      </c>
    </row>
    <row r="115">
      <c r="B115" s="7" t="n"/>
      <c r="C115" s="7" t="n"/>
      <c r="D115" s="7">
        <f>IF(OR(B115="",C115=""),"",B115+C115)</f>
        <v/>
      </c>
      <c r="E115" s="7">
        <f>IF(D115="","",MAX($D$2:D115))</f>
        <v/>
      </c>
      <c r="F115" s="7">
        <f>IF(OR(E115="",D115=""),"",E115-D115)</f>
        <v/>
      </c>
      <c r="G115" s="8">
        <f>IF(OR(E115="",F115="",E115=0),"",F115/E115)</f>
        <v/>
      </c>
      <c r="H115" s="7" t="n"/>
      <c r="I115" s="7">
        <f>IF(OR(H115="",F115=""),"",H115-F115)</f>
        <v/>
      </c>
      <c r="J115">
        <f>IF(I115="","",IF(I115&lt;=0,"BREACH",IF(I115&lt;=500,"WARNING","OK")))</f>
        <v/>
      </c>
    </row>
    <row r="116">
      <c r="B116" s="7" t="n"/>
      <c r="C116" s="7" t="n"/>
      <c r="D116" s="7">
        <f>IF(OR(B116="",C116=""),"",B116+C116)</f>
        <v/>
      </c>
      <c r="E116" s="7">
        <f>IF(D116="","",MAX($D$2:D116))</f>
        <v/>
      </c>
      <c r="F116" s="7">
        <f>IF(OR(E116="",D116=""),"",E116-D116)</f>
        <v/>
      </c>
      <c r="G116" s="8">
        <f>IF(OR(E116="",F116="",E116=0),"",F116/E116)</f>
        <v/>
      </c>
      <c r="H116" s="7" t="n"/>
      <c r="I116" s="7">
        <f>IF(OR(H116="",F116=""),"",H116-F116)</f>
        <v/>
      </c>
      <c r="J116">
        <f>IF(I116="","",IF(I116&lt;=0,"BREACH",IF(I116&lt;=500,"WARNING","OK")))</f>
        <v/>
      </c>
    </row>
    <row r="117">
      <c r="B117" s="7" t="n"/>
      <c r="C117" s="7" t="n"/>
      <c r="D117" s="7">
        <f>IF(OR(B117="",C117=""),"",B117+C117)</f>
        <v/>
      </c>
      <c r="E117" s="7">
        <f>IF(D117="","",MAX($D$2:D117))</f>
        <v/>
      </c>
      <c r="F117" s="7">
        <f>IF(OR(E117="",D117=""),"",E117-D117)</f>
        <v/>
      </c>
      <c r="G117" s="8">
        <f>IF(OR(E117="",F117="",E117=0),"",F117/E117)</f>
        <v/>
      </c>
      <c r="H117" s="7" t="n"/>
      <c r="I117" s="7">
        <f>IF(OR(H117="",F117=""),"",H117-F117)</f>
        <v/>
      </c>
      <c r="J117">
        <f>IF(I117="","",IF(I117&lt;=0,"BREACH",IF(I117&lt;=500,"WARNING","OK")))</f>
        <v/>
      </c>
    </row>
    <row r="118">
      <c r="B118" s="7" t="n"/>
      <c r="C118" s="7" t="n"/>
      <c r="D118" s="7">
        <f>IF(OR(B118="",C118=""),"",B118+C118)</f>
        <v/>
      </c>
      <c r="E118" s="7">
        <f>IF(D118="","",MAX($D$2:D118))</f>
        <v/>
      </c>
      <c r="F118" s="7">
        <f>IF(OR(E118="",D118=""),"",E118-D118)</f>
        <v/>
      </c>
      <c r="G118" s="8">
        <f>IF(OR(E118="",F118="",E118=0),"",F118/E118)</f>
        <v/>
      </c>
      <c r="H118" s="7" t="n"/>
      <c r="I118" s="7">
        <f>IF(OR(H118="",F118=""),"",H118-F118)</f>
        <v/>
      </c>
      <c r="J118">
        <f>IF(I118="","",IF(I118&lt;=0,"BREACH",IF(I118&lt;=500,"WARNING","OK")))</f>
        <v/>
      </c>
    </row>
    <row r="119">
      <c r="B119" s="7" t="n"/>
      <c r="C119" s="7" t="n"/>
      <c r="D119" s="7">
        <f>IF(OR(B119="",C119=""),"",B119+C119)</f>
        <v/>
      </c>
      <c r="E119" s="7">
        <f>IF(D119="","",MAX($D$2:D119))</f>
        <v/>
      </c>
      <c r="F119" s="7">
        <f>IF(OR(E119="",D119=""),"",E119-D119)</f>
        <v/>
      </c>
      <c r="G119" s="8">
        <f>IF(OR(E119="",F119="",E119=0),"",F119/E119)</f>
        <v/>
      </c>
      <c r="H119" s="7" t="n"/>
      <c r="I119" s="7">
        <f>IF(OR(H119="",F119=""),"",H119-F119)</f>
        <v/>
      </c>
      <c r="J119">
        <f>IF(I119="","",IF(I119&lt;=0,"BREACH",IF(I119&lt;=500,"WARNING","OK")))</f>
        <v/>
      </c>
    </row>
    <row r="120">
      <c r="B120" s="7" t="n"/>
      <c r="C120" s="7" t="n"/>
      <c r="D120" s="7">
        <f>IF(OR(B120="",C120=""),"",B120+C120)</f>
        <v/>
      </c>
      <c r="E120" s="7">
        <f>IF(D120="","",MAX($D$2:D120))</f>
        <v/>
      </c>
      <c r="F120" s="7">
        <f>IF(OR(E120="",D120=""),"",E120-D120)</f>
        <v/>
      </c>
      <c r="G120" s="8">
        <f>IF(OR(E120="",F120="",E120=0),"",F120/E120)</f>
        <v/>
      </c>
      <c r="H120" s="7" t="n"/>
      <c r="I120" s="7">
        <f>IF(OR(H120="",F120=""),"",H120-F120)</f>
        <v/>
      </c>
      <c r="J120">
        <f>IF(I120="","",IF(I120&lt;=0,"BREACH",IF(I120&lt;=500,"WARNING","OK")))</f>
        <v/>
      </c>
    </row>
    <row r="121">
      <c r="B121" s="7" t="n"/>
      <c r="C121" s="7" t="n"/>
      <c r="D121" s="7">
        <f>IF(OR(B121="",C121=""),"",B121+C121)</f>
        <v/>
      </c>
      <c r="E121" s="7">
        <f>IF(D121="","",MAX($D$2:D121))</f>
        <v/>
      </c>
      <c r="F121" s="7">
        <f>IF(OR(E121="",D121=""),"",E121-D121)</f>
        <v/>
      </c>
      <c r="G121" s="8">
        <f>IF(OR(E121="",F121="",E121=0),"",F121/E121)</f>
        <v/>
      </c>
      <c r="H121" s="7" t="n"/>
      <c r="I121" s="7">
        <f>IF(OR(H121="",F121=""),"",H121-F121)</f>
        <v/>
      </c>
      <c r="J121">
        <f>IF(I121="","",IF(I121&lt;=0,"BREACH",IF(I121&lt;=500,"WARNING","OK")))</f>
        <v/>
      </c>
    </row>
    <row r="122">
      <c r="B122" s="7" t="n"/>
      <c r="C122" s="7" t="n"/>
      <c r="D122" s="7">
        <f>IF(OR(B122="",C122=""),"",B122+C122)</f>
        <v/>
      </c>
      <c r="E122" s="7">
        <f>IF(D122="","",MAX($D$2:D122))</f>
        <v/>
      </c>
      <c r="F122" s="7">
        <f>IF(OR(E122="",D122=""),"",E122-D122)</f>
        <v/>
      </c>
      <c r="G122" s="8">
        <f>IF(OR(E122="",F122="",E122=0),"",F122/E122)</f>
        <v/>
      </c>
      <c r="H122" s="7" t="n"/>
      <c r="I122" s="7">
        <f>IF(OR(H122="",F122=""),"",H122-F122)</f>
        <v/>
      </c>
      <c r="J122">
        <f>IF(I122="","",IF(I122&lt;=0,"BREACH",IF(I122&lt;=500,"WARNING","OK")))</f>
        <v/>
      </c>
    </row>
    <row r="123">
      <c r="B123" s="7" t="n"/>
      <c r="C123" s="7" t="n"/>
      <c r="D123" s="7">
        <f>IF(OR(B123="",C123=""),"",B123+C123)</f>
        <v/>
      </c>
      <c r="E123" s="7">
        <f>IF(D123="","",MAX($D$2:D123))</f>
        <v/>
      </c>
      <c r="F123" s="7">
        <f>IF(OR(E123="",D123=""),"",E123-D123)</f>
        <v/>
      </c>
      <c r="G123" s="8">
        <f>IF(OR(E123="",F123="",E123=0),"",F123/E123)</f>
        <v/>
      </c>
      <c r="H123" s="7" t="n"/>
      <c r="I123" s="7">
        <f>IF(OR(H123="",F123=""),"",H123-F123)</f>
        <v/>
      </c>
      <c r="J123">
        <f>IF(I123="","",IF(I123&lt;=0,"BREACH",IF(I123&lt;=500,"WARNING","OK")))</f>
        <v/>
      </c>
    </row>
    <row r="124">
      <c r="B124" s="7" t="n"/>
      <c r="C124" s="7" t="n"/>
      <c r="D124" s="7">
        <f>IF(OR(B124="",C124=""),"",B124+C124)</f>
        <v/>
      </c>
      <c r="E124" s="7">
        <f>IF(D124="","",MAX($D$2:D124))</f>
        <v/>
      </c>
      <c r="F124" s="7">
        <f>IF(OR(E124="",D124=""),"",E124-D124)</f>
        <v/>
      </c>
      <c r="G124" s="8">
        <f>IF(OR(E124="",F124="",E124=0),"",F124/E124)</f>
        <v/>
      </c>
      <c r="H124" s="7" t="n"/>
      <c r="I124" s="7">
        <f>IF(OR(H124="",F124=""),"",H124-F124)</f>
        <v/>
      </c>
      <c r="J124">
        <f>IF(I124="","",IF(I124&lt;=0,"BREACH",IF(I124&lt;=500,"WARNING","OK")))</f>
        <v/>
      </c>
    </row>
    <row r="125">
      <c r="B125" s="7" t="n"/>
      <c r="C125" s="7" t="n"/>
      <c r="D125" s="7">
        <f>IF(OR(B125="",C125=""),"",B125+C125)</f>
        <v/>
      </c>
      <c r="E125" s="7">
        <f>IF(D125="","",MAX($D$2:D125))</f>
        <v/>
      </c>
      <c r="F125" s="7">
        <f>IF(OR(E125="",D125=""),"",E125-D125)</f>
        <v/>
      </c>
      <c r="G125" s="8">
        <f>IF(OR(E125="",F125="",E125=0),"",F125/E125)</f>
        <v/>
      </c>
      <c r="H125" s="7" t="n"/>
      <c r="I125" s="7">
        <f>IF(OR(H125="",F125=""),"",H125-F125)</f>
        <v/>
      </c>
      <c r="J125">
        <f>IF(I125="","",IF(I125&lt;=0,"BREACH",IF(I125&lt;=500,"WARNING","OK")))</f>
        <v/>
      </c>
    </row>
    <row r="126">
      <c r="B126" s="7" t="n"/>
      <c r="C126" s="7" t="n"/>
      <c r="D126" s="7">
        <f>IF(OR(B126="",C126=""),"",B126+C126)</f>
        <v/>
      </c>
      <c r="E126" s="7">
        <f>IF(D126="","",MAX($D$2:D126))</f>
        <v/>
      </c>
      <c r="F126" s="7">
        <f>IF(OR(E126="",D126=""),"",E126-D126)</f>
        <v/>
      </c>
      <c r="G126" s="8">
        <f>IF(OR(E126="",F126="",E126=0),"",F126/E126)</f>
        <v/>
      </c>
      <c r="H126" s="7" t="n"/>
      <c r="I126" s="7">
        <f>IF(OR(H126="",F126=""),"",H126-F126)</f>
        <v/>
      </c>
      <c r="J126">
        <f>IF(I126="","",IF(I126&lt;=0,"BREACH",IF(I126&lt;=500,"WARNING","OK")))</f>
        <v/>
      </c>
    </row>
    <row r="127">
      <c r="B127" s="7" t="n"/>
      <c r="C127" s="7" t="n"/>
      <c r="D127" s="7">
        <f>IF(OR(B127="",C127=""),"",B127+C127)</f>
        <v/>
      </c>
      <c r="E127" s="7">
        <f>IF(D127="","",MAX($D$2:D127))</f>
        <v/>
      </c>
      <c r="F127" s="7">
        <f>IF(OR(E127="",D127=""),"",E127-D127)</f>
        <v/>
      </c>
      <c r="G127" s="8">
        <f>IF(OR(E127="",F127="",E127=0),"",F127/E127)</f>
        <v/>
      </c>
      <c r="H127" s="7" t="n"/>
      <c r="I127" s="7">
        <f>IF(OR(H127="",F127=""),"",H127-F127)</f>
        <v/>
      </c>
      <c r="J127">
        <f>IF(I127="","",IF(I127&lt;=0,"BREACH",IF(I127&lt;=500,"WARNING","OK")))</f>
        <v/>
      </c>
    </row>
    <row r="128">
      <c r="B128" s="7" t="n"/>
      <c r="C128" s="7" t="n"/>
      <c r="D128" s="7">
        <f>IF(OR(B128="",C128=""),"",B128+C128)</f>
        <v/>
      </c>
      <c r="E128" s="7">
        <f>IF(D128="","",MAX($D$2:D128))</f>
        <v/>
      </c>
      <c r="F128" s="7">
        <f>IF(OR(E128="",D128=""),"",E128-D128)</f>
        <v/>
      </c>
      <c r="G128" s="8">
        <f>IF(OR(E128="",F128="",E128=0),"",F128/E128)</f>
        <v/>
      </c>
      <c r="H128" s="7" t="n"/>
      <c r="I128" s="7">
        <f>IF(OR(H128="",F128=""),"",H128-F128)</f>
        <v/>
      </c>
      <c r="J128">
        <f>IF(I128="","",IF(I128&lt;=0,"BREACH",IF(I128&lt;=500,"WARNING","OK")))</f>
        <v/>
      </c>
    </row>
    <row r="129">
      <c r="B129" s="7" t="n"/>
      <c r="C129" s="7" t="n"/>
      <c r="D129" s="7">
        <f>IF(OR(B129="",C129=""),"",B129+C129)</f>
        <v/>
      </c>
      <c r="E129" s="7">
        <f>IF(D129="","",MAX($D$2:D129))</f>
        <v/>
      </c>
      <c r="F129" s="7">
        <f>IF(OR(E129="",D129=""),"",E129-D129)</f>
        <v/>
      </c>
      <c r="G129" s="8">
        <f>IF(OR(E129="",F129="",E129=0),"",F129/E129)</f>
        <v/>
      </c>
      <c r="H129" s="7" t="n"/>
      <c r="I129" s="7">
        <f>IF(OR(H129="",F129=""),"",H129-F129)</f>
        <v/>
      </c>
      <c r="J129">
        <f>IF(I129="","",IF(I129&lt;=0,"BREACH",IF(I129&lt;=500,"WARNING","OK")))</f>
        <v/>
      </c>
    </row>
    <row r="130">
      <c r="B130" s="7" t="n"/>
      <c r="C130" s="7" t="n"/>
      <c r="D130" s="7">
        <f>IF(OR(B130="",C130=""),"",B130+C130)</f>
        <v/>
      </c>
      <c r="E130" s="7">
        <f>IF(D130="","",MAX($D$2:D130))</f>
        <v/>
      </c>
      <c r="F130" s="7">
        <f>IF(OR(E130="",D130=""),"",E130-D130)</f>
        <v/>
      </c>
      <c r="G130" s="8">
        <f>IF(OR(E130="",F130="",E130=0),"",F130/E130)</f>
        <v/>
      </c>
      <c r="H130" s="7" t="n"/>
      <c r="I130" s="7">
        <f>IF(OR(H130="",F130=""),"",H130-F130)</f>
        <v/>
      </c>
      <c r="J130">
        <f>IF(I130="","",IF(I130&lt;=0,"BREACH",IF(I130&lt;=500,"WARNING","OK")))</f>
        <v/>
      </c>
    </row>
    <row r="131">
      <c r="B131" s="7" t="n"/>
      <c r="C131" s="7" t="n"/>
      <c r="D131" s="7">
        <f>IF(OR(B131="",C131=""),"",B131+C131)</f>
        <v/>
      </c>
      <c r="E131" s="7">
        <f>IF(D131="","",MAX($D$2:D131))</f>
        <v/>
      </c>
      <c r="F131" s="7">
        <f>IF(OR(E131="",D131=""),"",E131-D131)</f>
        <v/>
      </c>
      <c r="G131" s="8">
        <f>IF(OR(E131="",F131="",E131=0),"",F131/E131)</f>
        <v/>
      </c>
      <c r="H131" s="7" t="n"/>
      <c r="I131" s="7">
        <f>IF(OR(H131="",F131=""),"",H131-F131)</f>
        <v/>
      </c>
      <c r="J131">
        <f>IF(I131="","",IF(I131&lt;=0,"BREACH",IF(I131&lt;=500,"WARNING","OK")))</f>
        <v/>
      </c>
    </row>
    <row r="132">
      <c r="B132" s="7" t="n"/>
      <c r="C132" s="7" t="n"/>
      <c r="D132" s="7">
        <f>IF(OR(B132="",C132=""),"",B132+C132)</f>
        <v/>
      </c>
      <c r="E132" s="7">
        <f>IF(D132="","",MAX($D$2:D132))</f>
        <v/>
      </c>
      <c r="F132" s="7">
        <f>IF(OR(E132="",D132=""),"",E132-D132)</f>
        <v/>
      </c>
      <c r="G132" s="8">
        <f>IF(OR(E132="",F132="",E132=0),"",F132/E132)</f>
        <v/>
      </c>
      <c r="H132" s="7" t="n"/>
      <c r="I132" s="7">
        <f>IF(OR(H132="",F132=""),"",H132-F132)</f>
        <v/>
      </c>
      <c r="J132">
        <f>IF(I132="","",IF(I132&lt;=0,"BREACH",IF(I132&lt;=500,"WARNING","OK")))</f>
        <v/>
      </c>
    </row>
    <row r="133">
      <c r="B133" s="7" t="n"/>
      <c r="C133" s="7" t="n"/>
      <c r="D133" s="7">
        <f>IF(OR(B133="",C133=""),"",B133+C133)</f>
        <v/>
      </c>
      <c r="E133" s="7">
        <f>IF(D133="","",MAX($D$2:D133))</f>
        <v/>
      </c>
      <c r="F133" s="7">
        <f>IF(OR(E133="",D133=""),"",E133-D133)</f>
        <v/>
      </c>
      <c r="G133" s="8">
        <f>IF(OR(E133="",F133="",E133=0),"",F133/E133)</f>
        <v/>
      </c>
      <c r="H133" s="7" t="n"/>
      <c r="I133" s="7">
        <f>IF(OR(H133="",F133=""),"",H133-F133)</f>
        <v/>
      </c>
      <c r="J133">
        <f>IF(I133="","",IF(I133&lt;=0,"BREACH",IF(I133&lt;=500,"WARNING","OK")))</f>
        <v/>
      </c>
    </row>
    <row r="134">
      <c r="B134" s="7" t="n"/>
      <c r="C134" s="7" t="n"/>
      <c r="D134" s="7">
        <f>IF(OR(B134="",C134=""),"",B134+C134)</f>
        <v/>
      </c>
      <c r="E134" s="7">
        <f>IF(D134="","",MAX($D$2:D134))</f>
        <v/>
      </c>
      <c r="F134" s="7">
        <f>IF(OR(E134="",D134=""),"",E134-D134)</f>
        <v/>
      </c>
      <c r="G134" s="8">
        <f>IF(OR(E134="",F134="",E134=0),"",F134/E134)</f>
        <v/>
      </c>
      <c r="H134" s="7" t="n"/>
      <c r="I134" s="7">
        <f>IF(OR(H134="",F134=""),"",H134-F134)</f>
        <v/>
      </c>
      <c r="J134">
        <f>IF(I134="","",IF(I134&lt;=0,"BREACH",IF(I134&lt;=500,"WARNING","OK")))</f>
        <v/>
      </c>
    </row>
    <row r="135">
      <c r="B135" s="7" t="n"/>
      <c r="C135" s="7" t="n"/>
      <c r="D135" s="7">
        <f>IF(OR(B135="",C135=""),"",B135+C135)</f>
        <v/>
      </c>
      <c r="E135" s="7">
        <f>IF(D135="","",MAX($D$2:D135))</f>
        <v/>
      </c>
      <c r="F135" s="7">
        <f>IF(OR(E135="",D135=""),"",E135-D135)</f>
        <v/>
      </c>
      <c r="G135" s="8">
        <f>IF(OR(E135="",F135="",E135=0),"",F135/E135)</f>
        <v/>
      </c>
      <c r="H135" s="7" t="n"/>
      <c r="I135" s="7">
        <f>IF(OR(H135="",F135=""),"",H135-F135)</f>
        <v/>
      </c>
      <c r="J135">
        <f>IF(I135="","",IF(I135&lt;=0,"BREACH",IF(I135&lt;=500,"WARNING","OK")))</f>
        <v/>
      </c>
    </row>
    <row r="136">
      <c r="B136" s="7" t="n"/>
      <c r="C136" s="7" t="n"/>
      <c r="D136" s="7">
        <f>IF(OR(B136="",C136=""),"",B136+C136)</f>
        <v/>
      </c>
      <c r="E136" s="7">
        <f>IF(D136="","",MAX($D$2:D136))</f>
        <v/>
      </c>
      <c r="F136" s="7">
        <f>IF(OR(E136="",D136=""),"",E136-D136)</f>
        <v/>
      </c>
      <c r="G136" s="8">
        <f>IF(OR(E136="",F136="",E136=0),"",F136/E136)</f>
        <v/>
      </c>
      <c r="H136" s="7" t="n"/>
      <c r="I136" s="7">
        <f>IF(OR(H136="",F136=""),"",H136-F136)</f>
        <v/>
      </c>
      <c r="J136">
        <f>IF(I136="","",IF(I136&lt;=0,"BREACH",IF(I136&lt;=500,"WARNING","OK")))</f>
        <v/>
      </c>
    </row>
    <row r="137">
      <c r="B137" s="7" t="n"/>
      <c r="C137" s="7" t="n"/>
      <c r="D137" s="7">
        <f>IF(OR(B137="",C137=""),"",B137+C137)</f>
        <v/>
      </c>
      <c r="E137" s="7">
        <f>IF(D137="","",MAX($D$2:D137))</f>
        <v/>
      </c>
      <c r="F137" s="7">
        <f>IF(OR(E137="",D137=""),"",E137-D137)</f>
        <v/>
      </c>
      <c r="G137" s="8">
        <f>IF(OR(E137="",F137="",E137=0),"",F137/E137)</f>
        <v/>
      </c>
      <c r="H137" s="7" t="n"/>
      <c r="I137" s="7">
        <f>IF(OR(H137="",F137=""),"",H137-F137)</f>
        <v/>
      </c>
      <c r="J137">
        <f>IF(I137="","",IF(I137&lt;=0,"BREACH",IF(I137&lt;=500,"WARNING","OK")))</f>
        <v/>
      </c>
    </row>
    <row r="138">
      <c r="B138" s="7" t="n"/>
      <c r="C138" s="7" t="n"/>
      <c r="D138" s="7">
        <f>IF(OR(B138="",C138=""),"",B138+C138)</f>
        <v/>
      </c>
      <c r="E138" s="7">
        <f>IF(D138="","",MAX($D$2:D138))</f>
        <v/>
      </c>
      <c r="F138" s="7">
        <f>IF(OR(E138="",D138=""),"",E138-D138)</f>
        <v/>
      </c>
      <c r="G138" s="8">
        <f>IF(OR(E138="",F138="",E138=0),"",F138/E138)</f>
        <v/>
      </c>
      <c r="H138" s="7" t="n"/>
      <c r="I138" s="7">
        <f>IF(OR(H138="",F138=""),"",H138-F138)</f>
        <v/>
      </c>
      <c r="J138">
        <f>IF(I138="","",IF(I138&lt;=0,"BREACH",IF(I138&lt;=500,"WARNING","OK")))</f>
        <v/>
      </c>
    </row>
    <row r="139">
      <c r="B139" s="7" t="n"/>
      <c r="C139" s="7" t="n"/>
      <c r="D139" s="7">
        <f>IF(OR(B139="",C139=""),"",B139+C139)</f>
        <v/>
      </c>
      <c r="E139" s="7">
        <f>IF(D139="","",MAX($D$2:D139))</f>
        <v/>
      </c>
      <c r="F139" s="7">
        <f>IF(OR(E139="",D139=""),"",E139-D139)</f>
        <v/>
      </c>
      <c r="G139" s="8">
        <f>IF(OR(E139="",F139="",E139=0),"",F139/E139)</f>
        <v/>
      </c>
      <c r="H139" s="7" t="n"/>
      <c r="I139" s="7">
        <f>IF(OR(H139="",F139=""),"",H139-F139)</f>
        <v/>
      </c>
      <c r="J139">
        <f>IF(I139="","",IF(I139&lt;=0,"BREACH",IF(I139&lt;=500,"WARNING","OK")))</f>
        <v/>
      </c>
    </row>
    <row r="140">
      <c r="B140" s="7" t="n"/>
      <c r="C140" s="7" t="n"/>
      <c r="D140" s="7">
        <f>IF(OR(B140="",C140=""),"",B140+C140)</f>
        <v/>
      </c>
      <c r="E140" s="7">
        <f>IF(D140="","",MAX($D$2:D140))</f>
        <v/>
      </c>
      <c r="F140" s="7">
        <f>IF(OR(E140="",D140=""),"",E140-D140)</f>
        <v/>
      </c>
      <c r="G140" s="8">
        <f>IF(OR(E140="",F140="",E140=0),"",F140/E140)</f>
        <v/>
      </c>
      <c r="H140" s="7" t="n"/>
      <c r="I140" s="7">
        <f>IF(OR(H140="",F140=""),"",H140-F140)</f>
        <v/>
      </c>
      <c r="J140">
        <f>IF(I140="","",IF(I140&lt;=0,"BREACH",IF(I140&lt;=500,"WARNING","OK")))</f>
        <v/>
      </c>
    </row>
    <row r="141">
      <c r="B141" s="7" t="n"/>
      <c r="C141" s="7" t="n"/>
      <c r="D141" s="7">
        <f>IF(OR(B141="",C141=""),"",B141+C141)</f>
        <v/>
      </c>
      <c r="E141" s="7">
        <f>IF(D141="","",MAX($D$2:D141))</f>
        <v/>
      </c>
      <c r="F141" s="7">
        <f>IF(OR(E141="",D141=""),"",E141-D141)</f>
        <v/>
      </c>
      <c r="G141" s="8">
        <f>IF(OR(E141="",F141="",E141=0),"",F141/E141)</f>
        <v/>
      </c>
      <c r="H141" s="7" t="n"/>
      <c r="I141" s="7">
        <f>IF(OR(H141="",F141=""),"",H141-F141)</f>
        <v/>
      </c>
      <c r="J141">
        <f>IF(I141="","",IF(I141&lt;=0,"BREACH",IF(I141&lt;=500,"WARNING","OK")))</f>
        <v/>
      </c>
    </row>
    <row r="142">
      <c r="B142" s="7" t="n"/>
      <c r="C142" s="7" t="n"/>
      <c r="D142" s="7">
        <f>IF(OR(B142="",C142=""),"",B142+C142)</f>
        <v/>
      </c>
      <c r="E142" s="7">
        <f>IF(D142="","",MAX($D$2:D142))</f>
        <v/>
      </c>
      <c r="F142" s="7">
        <f>IF(OR(E142="",D142=""),"",E142-D142)</f>
        <v/>
      </c>
      <c r="G142" s="8">
        <f>IF(OR(E142="",F142="",E142=0),"",F142/E142)</f>
        <v/>
      </c>
      <c r="H142" s="7" t="n"/>
      <c r="I142" s="7">
        <f>IF(OR(H142="",F142=""),"",H142-F142)</f>
        <v/>
      </c>
      <c r="J142">
        <f>IF(I142="","",IF(I142&lt;=0,"BREACH",IF(I142&lt;=500,"WARNING","OK")))</f>
        <v/>
      </c>
    </row>
    <row r="143">
      <c r="B143" s="7" t="n"/>
      <c r="C143" s="7" t="n"/>
      <c r="D143" s="7">
        <f>IF(OR(B143="",C143=""),"",B143+C143)</f>
        <v/>
      </c>
      <c r="E143" s="7">
        <f>IF(D143="","",MAX($D$2:D143))</f>
        <v/>
      </c>
      <c r="F143" s="7">
        <f>IF(OR(E143="",D143=""),"",E143-D143)</f>
        <v/>
      </c>
      <c r="G143" s="8">
        <f>IF(OR(E143="",F143="",E143=0),"",F143/E143)</f>
        <v/>
      </c>
      <c r="H143" s="7" t="n"/>
      <c r="I143" s="7">
        <f>IF(OR(H143="",F143=""),"",H143-F143)</f>
        <v/>
      </c>
      <c r="J143">
        <f>IF(I143="","",IF(I143&lt;=0,"BREACH",IF(I143&lt;=500,"WARNING","OK")))</f>
        <v/>
      </c>
    </row>
    <row r="144">
      <c r="B144" s="7" t="n"/>
      <c r="C144" s="7" t="n"/>
      <c r="D144" s="7">
        <f>IF(OR(B144="",C144=""),"",B144+C144)</f>
        <v/>
      </c>
      <c r="E144" s="7">
        <f>IF(D144="","",MAX($D$2:D144))</f>
        <v/>
      </c>
      <c r="F144" s="7">
        <f>IF(OR(E144="",D144=""),"",E144-D144)</f>
        <v/>
      </c>
      <c r="G144" s="8">
        <f>IF(OR(E144="",F144="",E144=0),"",F144/E144)</f>
        <v/>
      </c>
      <c r="H144" s="7" t="n"/>
      <c r="I144" s="7">
        <f>IF(OR(H144="",F144=""),"",H144-F144)</f>
        <v/>
      </c>
      <c r="J144">
        <f>IF(I144="","",IF(I144&lt;=0,"BREACH",IF(I144&lt;=500,"WARNING","OK")))</f>
        <v/>
      </c>
    </row>
    <row r="145">
      <c r="B145" s="7" t="n"/>
      <c r="C145" s="7" t="n"/>
      <c r="D145" s="7">
        <f>IF(OR(B145="",C145=""),"",B145+C145)</f>
        <v/>
      </c>
      <c r="E145" s="7">
        <f>IF(D145="","",MAX($D$2:D145))</f>
        <v/>
      </c>
      <c r="F145" s="7">
        <f>IF(OR(E145="",D145=""),"",E145-D145)</f>
        <v/>
      </c>
      <c r="G145" s="8">
        <f>IF(OR(E145="",F145="",E145=0),"",F145/E145)</f>
        <v/>
      </c>
      <c r="H145" s="7" t="n"/>
      <c r="I145" s="7">
        <f>IF(OR(H145="",F145=""),"",H145-F145)</f>
        <v/>
      </c>
      <c r="J145">
        <f>IF(I145="","",IF(I145&lt;=0,"BREACH",IF(I145&lt;=500,"WARNING","OK")))</f>
        <v/>
      </c>
    </row>
    <row r="146">
      <c r="B146" s="7" t="n"/>
      <c r="C146" s="7" t="n"/>
      <c r="D146" s="7">
        <f>IF(OR(B146="",C146=""),"",B146+C146)</f>
        <v/>
      </c>
      <c r="E146" s="7">
        <f>IF(D146="","",MAX($D$2:D146))</f>
        <v/>
      </c>
      <c r="F146" s="7">
        <f>IF(OR(E146="",D146=""),"",E146-D146)</f>
        <v/>
      </c>
      <c r="G146" s="8">
        <f>IF(OR(E146="",F146="",E146=0),"",F146/E146)</f>
        <v/>
      </c>
      <c r="H146" s="7" t="n"/>
      <c r="I146" s="7">
        <f>IF(OR(H146="",F146=""),"",H146-F146)</f>
        <v/>
      </c>
      <c r="J146">
        <f>IF(I146="","",IF(I146&lt;=0,"BREACH",IF(I146&lt;=500,"WARNING","OK")))</f>
        <v/>
      </c>
    </row>
    <row r="147">
      <c r="B147" s="7" t="n"/>
      <c r="C147" s="7" t="n"/>
      <c r="D147" s="7">
        <f>IF(OR(B147="",C147=""),"",B147+C147)</f>
        <v/>
      </c>
      <c r="E147" s="7">
        <f>IF(D147="","",MAX($D$2:D147))</f>
        <v/>
      </c>
      <c r="F147" s="7">
        <f>IF(OR(E147="",D147=""),"",E147-D147)</f>
        <v/>
      </c>
      <c r="G147" s="8">
        <f>IF(OR(E147="",F147="",E147=0),"",F147/E147)</f>
        <v/>
      </c>
      <c r="H147" s="7" t="n"/>
      <c r="I147" s="7">
        <f>IF(OR(H147="",F147=""),"",H147-F147)</f>
        <v/>
      </c>
      <c r="J147">
        <f>IF(I147="","",IF(I147&lt;=0,"BREACH",IF(I147&lt;=500,"WARNING","OK")))</f>
        <v/>
      </c>
    </row>
    <row r="148">
      <c r="B148" s="7" t="n"/>
      <c r="C148" s="7" t="n"/>
      <c r="D148" s="7">
        <f>IF(OR(B148="",C148=""),"",B148+C148)</f>
        <v/>
      </c>
      <c r="E148" s="7">
        <f>IF(D148="","",MAX($D$2:D148))</f>
        <v/>
      </c>
      <c r="F148" s="7">
        <f>IF(OR(E148="",D148=""),"",E148-D148)</f>
        <v/>
      </c>
      <c r="G148" s="8">
        <f>IF(OR(E148="",F148="",E148=0),"",F148/E148)</f>
        <v/>
      </c>
      <c r="H148" s="7" t="n"/>
      <c r="I148" s="7">
        <f>IF(OR(H148="",F148=""),"",H148-F148)</f>
        <v/>
      </c>
      <c r="J148">
        <f>IF(I148="","",IF(I148&lt;=0,"BREACH",IF(I148&lt;=500,"WARNING","OK")))</f>
        <v/>
      </c>
    </row>
    <row r="149">
      <c r="B149" s="7" t="n"/>
      <c r="C149" s="7" t="n"/>
      <c r="D149" s="7">
        <f>IF(OR(B149="",C149=""),"",B149+C149)</f>
        <v/>
      </c>
      <c r="E149" s="7">
        <f>IF(D149="","",MAX($D$2:D149))</f>
        <v/>
      </c>
      <c r="F149" s="7">
        <f>IF(OR(E149="",D149=""),"",E149-D149)</f>
        <v/>
      </c>
      <c r="G149" s="8">
        <f>IF(OR(E149="",F149="",E149=0),"",F149/E149)</f>
        <v/>
      </c>
      <c r="H149" s="7" t="n"/>
      <c r="I149" s="7">
        <f>IF(OR(H149="",F149=""),"",H149-F149)</f>
        <v/>
      </c>
      <c r="J149">
        <f>IF(I149="","",IF(I149&lt;=0,"BREACH",IF(I149&lt;=500,"WARNING","OK")))</f>
        <v/>
      </c>
    </row>
    <row r="150">
      <c r="B150" s="7" t="n"/>
      <c r="C150" s="7" t="n"/>
      <c r="D150" s="7">
        <f>IF(OR(B150="",C150=""),"",B150+C150)</f>
        <v/>
      </c>
      <c r="E150" s="7">
        <f>IF(D150="","",MAX($D$2:D150))</f>
        <v/>
      </c>
      <c r="F150" s="7">
        <f>IF(OR(E150="",D150=""),"",E150-D150)</f>
        <v/>
      </c>
      <c r="G150" s="8">
        <f>IF(OR(E150="",F150="",E150=0),"",F150/E150)</f>
        <v/>
      </c>
      <c r="H150" s="7" t="n"/>
      <c r="I150" s="7">
        <f>IF(OR(H150="",F150=""),"",H150-F150)</f>
        <v/>
      </c>
      <c r="J150">
        <f>IF(I150="","",IF(I150&lt;=0,"BREACH",IF(I150&lt;=500,"WARNING","OK")))</f>
        <v/>
      </c>
    </row>
    <row r="151">
      <c r="B151" s="7" t="n"/>
      <c r="C151" s="7" t="n"/>
      <c r="D151" s="7">
        <f>IF(OR(B151="",C151=""),"",B151+C151)</f>
        <v/>
      </c>
      <c r="E151" s="7">
        <f>IF(D151="","",MAX($D$2:D151))</f>
        <v/>
      </c>
      <c r="F151" s="7">
        <f>IF(OR(E151="",D151=""),"",E151-D151)</f>
        <v/>
      </c>
      <c r="G151" s="8">
        <f>IF(OR(E151="",F151="",E151=0),"",F151/E151)</f>
        <v/>
      </c>
      <c r="H151" s="7" t="n"/>
      <c r="I151" s="7">
        <f>IF(OR(H151="",F151=""),"",H151-F151)</f>
        <v/>
      </c>
      <c r="J151">
        <f>IF(I151="","",IF(I151&lt;=0,"BREACH",IF(I151&lt;=500,"WARNING","OK")))</f>
        <v/>
      </c>
    </row>
    <row r="152">
      <c r="B152" s="7" t="n"/>
      <c r="C152" s="7" t="n"/>
      <c r="D152" s="7">
        <f>IF(OR(B152="",C152=""),"",B152+C152)</f>
        <v/>
      </c>
      <c r="E152" s="7">
        <f>IF(D152="","",MAX($D$2:D152))</f>
        <v/>
      </c>
      <c r="F152" s="7">
        <f>IF(OR(E152="",D152=""),"",E152-D152)</f>
        <v/>
      </c>
      <c r="G152" s="8">
        <f>IF(OR(E152="",F152="",E152=0),"",F152/E152)</f>
        <v/>
      </c>
      <c r="H152" s="7" t="n"/>
      <c r="I152" s="7">
        <f>IF(OR(H152="",F152=""),"",H152-F152)</f>
        <v/>
      </c>
      <c r="J152">
        <f>IF(I152="","",IF(I152&lt;=0,"BREACH",IF(I152&lt;=500,"WARNING","OK")))</f>
        <v/>
      </c>
    </row>
    <row r="153">
      <c r="B153" s="7" t="n"/>
      <c r="C153" s="7" t="n"/>
      <c r="D153" s="7">
        <f>IF(OR(B153="",C153=""),"",B153+C153)</f>
        <v/>
      </c>
      <c r="E153" s="7">
        <f>IF(D153="","",MAX($D$2:D153))</f>
        <v/>
      </c>
      <c r="F153" s="7">
        <f>IF(OR(E153="",D153=""),"",E153-D153)</f>
        <v/>
      </c>
      <c r="G153" s="8">
        <f>IF(OR(E153="",F153="",E153=0),"",F153/E153)</f>
        <v/>
      </c>
      <c r="H153" s="7" t="n"/>
      <c r="I153" s="7">
        <f>IF(OR(H153="",F153=""),"",H153-F153)</f>
        <v/>
      </c>
      <c r="J153">
        <f>IF(I153="","",IF(I153&lt;=0,"BREACH",IF(I153&lt;=500,"WARNING","OK")))</f>
        <v/>
      </c>
    </row>
    <row r="154">
      <c r="B154" s="7" t="n"/>
      <c r="C154" s="7" t="n"/>
      <c r="D154" s="7">
        <f>IF(OR(B154="",C154=""),"",B154+C154)</f>
        <v/>
      </c>
      <c r="E154" s="7">
        <f>IF(D154="","",MAX($D$2:D154))</f>
        <v/>
      </c>
      <c r="F154" s="7">
        <f>IF(OR(E154="",D154=""),"",E154-D154)</f>
        <v/>
      </c>
      <c r="G154" s="8">
        <f>IF(OR(E154="",F154="",E154=0),"",F154/E154)</f>
        <v/>
      </c>
      <c r="H154" s="7" t="n"/>
      <c r="I154" s="7">
        <f>IF(OR(H154="",F154=""),"",H154-F154)</f>
        <v/>
      </c>
      <c r="J154">
        <f>IF(I154="","",IF(I154&lt;=0,"BREACH",IF(I154&lt;=500,"WARNING","OK")))</f>
        <v/>
      </c>
    </row>
    <row r="155">
      <c r="B155" s="7" t="n"/>
      <c r="C155" s="7" t="n"/>
      <c r="D155" s="7">
        <f>IF(OR(B155="",C155=""),"",B155+C155)</f>
        <v/>
      </c>
      <c r="E155" s="7">
        <f>IF(D155="","",MAX($D$2:D155))</f>
        <v/>
      </c>
      <c r="F155" s="7">
        <f>IF(OR(E155="",D155=""),"",E155-D155)</f>
        <v/>
      </c>
      <c r="G155" s="8">
        <f>IF(OR(E155="",F155="",E155=0),"",F155/E155)</f>
        <v/>
      </c>
      <c r="H155" s="7" t="n"/>
      <c r="I155" s="7">
        <f>IF(OR(H155="",F155=""),"",H155-F155)</f>
        <v/>
      </c>
      <c r="J155">
        <f>IF(I155="","",IF(I155&lt;=0,"BREACH",IF(I155&lt;=500,"WARNING","OK")))</f>
        <v/>
      </c>
    </row>
    <row r="156">
      <c r="B156" s="7" t="n"/>
      <c r="C156" s="7" t="n"/>
      <c r="D156" s="7">
        <f>IF(OR(B156="",C156=""),"",B156+C156)</f>
        <v/>
      </c>
      <c r="E156" s="7">
        <f>IF(D156="","",MAX($D$2:D156))</f>
        <v/>
      </c>
      <c r="F156" s="7">
        <f>IF(OR(E156="",D156=""),"",E156-D156)</f>
        <v/>
      </c>
      <c r="G156" s="8">
        <f>IF(OR(E156="",F156="",E156=0),"",F156/E156)</f>
        <v/>
      </c>
      <c r="H156" s="7" t="n"/>
      <c r="I156" s="7">
        <f>IF(OR(H156="",F156=""),"",H156-F156)</f>
        <v/>
      </c>
      <c r="J156">
        <f>IF(I156="","",IF(I156&lt;=0,"BREACH",IF(I156&lt;=500,"WARNING","OK")))</f>
        <v/>
      </c>
    </row>
    <row r="157">
      <c r="B157" s="7" t="n"/>
      <c r="C157" s="7" t="n"/>
      <c r="D157" s="7">
        <f>IF(OR(B157="",C157=""),"",B157+C157)</f>
        <v/>
      </c>
      <c r="E157" s="7">
        <f>IF(D157="","",MAX($D$2:D157))</f>
        <v/>
      </c>
      <c r="F157" s="7">
        <f>IF(OR(E157="",D157=""),"",E157-D157)</f>
        <v/>
      </c>
      <c r="G157" s="8">
        <f>IF(OR(E157="",F157="",E157=0),"",F157/E157)</f>
        <v/>
      </c>
      <c r="H157" s="7" t="n"/>
      <c r="I157" s="7">
        <f>IF(OR(H157="",F157=""),"",H157-F157)</f>
        <v/>
      </c>
      <c r="J157">
        <f>IF(I157="","",IF(I157&lt;=0,"BREACH",IF(I157&lt;=500,"WARNING","OK")))</f>
        <v/>
      </c>
    </row>
    <row r="158">
      <c r="B158" s="7" t="n"/>
      <c r="C158" s="7" t="n"/>
      <c r="D158" s="7">
        <f>IF(OR(B158="",C158=""),"",B158+C158)</f>
        <v/>
      </c>
      <c r="E158" s="7">
        <f>IF(D158="","",MAX($D$2:D158))</f>
        <v/>
      </c>
      <c r="F158" s="7">
        <f>IF(OR(E158="",D158=""),"",E158-D158)</f>
        <v/>
      </c>
      <c r="G158" s="8">
        <f>IF(OR(E158="",F158="",E158=0),"",F158/E158)</f>
        <v/>
      </c>
      <c r="H158" s="7" t="n"/>
      <c r="I158" s="7">
        <f>IF(OR(H158="",F158=""),"",H158-F158)</f>
        <v/>
      </c>
      <c r="J158">
        <f>IF(I158="","",IF(I158&lt;=0,"BREACH",IF(I158&lt;=500,"WARNING","OK")))</f>
        <v/>
      </c>
    </row>
    <row r="159">
      <c r="B159" s="7" t="n"/>
      <c r="C159" s="7" t="n"/>
      <c r="D159" s="7">
        <f>IF(OR(B159="",C159=""),"",B159+C159)</f>
        <v/>
      </c>
      <c r="E159" s="7">
        <f>IF(D159="","",MAX($D$2:D159))</f>
        <v/>
      </c>
      <c r="F159" s="7">
        <f>IF(OR(E159="",D159=""),"",E159-D159)</f>
        <v/>
      </c>
      <c r="G159" s="8">
        <f>IF(OR(E159="",F159="",E159=0),"",F159/E159)</f>
        <v/>
      </c>
      <c r="H159" s="7" t="n"/>
      <c r="I159" s="7">
        <f>IF(OR(H159="",F159=""),"",H159-F159)</f>
        <v/>
      </c>
      <c r="J159">
        <f>IF(I159="","",IF(I159&lt;=0,"BREACH",IF(I159&lt;=500,"WARNING","OK")))</f>
        <v/>
      </c>
    </row>
    <row r="160">
      <c r="B160" s="7" t="n"/>
      <c r="C160" s="7" t="n"/>
      <c r="D160" s="7">
        <f>IF(OR(B160="",C160=""),"",B160+C160)</f>
        <v/>
      </c>
      <c r="E160" s="7">
        <f>IF(D160="","",MAX($D$2:D160))</f>
        <v/>
      </c>
      <c r="F160" s="7">
        <f>IF(OR(E160="",D160=""),"",E160-D160)</f>
        <v/>
      </c>
      <c r="G160" s="8">
        <f>IF(OR(E160="",F160="",E160=0),"",F160/E160)</f>
        <v/>
      </c>
      <c r="H160" s="7" t="n"/>
      <c r="I160" s="7">
        <f>IF(OR(H160="",F160=""),"",H160-F160)</f>
        <v/>
      </c>
      <c r="J160">
        <f>IF(I160="","",IF(I160&lt;=0,"BREACH",IF(I160&lt;=500,"WARNING","OK")))</f>
        <v/>
      </c>
    </row>
    <row r="161">
      <c r="B161" s="7" t="n"/>
      <c r="C161" s="7" t="n"/>
      <c r="D161" s="7">
        <f>IF(OR(B161="",C161=""),"",B161+C161)</f>
        <v/>
      </c>
      <c r="E161" s="7">
        <f>IF(D161="","",MAX($D$2:D161))</f>
        <v/>
      </c>
      <c r="F161" s="7">
        <f>IF(OR(E161="",D161=""),"",E161-D161)</f>
        <v/>
      </c>
      <c r="G161" s="8">
        <f>IF(OR(E161="",F161="",E161=0),"",F161/E161)</f>
        <v/>
      </c>
      <c r="H161" s="7" t="n"/>
      <c r="I161" s="7">
        <f>IF(OR(H161="",F161=""),"",H161-F161)</f>
        <v/>
      </c>
      <c r="J161">
        <f>IF(I161="","",IF(I161&lt;=0,"BREACH",IF(I161&lt;=500,"WARNING","OK")))</f>
        <v/>
      </c>
    </row>
    <row r="162">
      <c r="B162" s="7" t="n"/>
      <c r="C162" s="7" t="n"/>
      <c r="D162" s="7">
        <f>IF(OR(B162="",C162=""),"",B162+C162)</f>
        <v/>
      </c>
      <c r="E162" s="7">
        <f>IF(D162="","",MAX($D$2:D162))</f>
        <v/>
      </c>
      <c r="F162" s="7">
        <f>IF(OR(E162="",D162=""),"",E162-D162)</f>
        <v/>
      </c>
      <c r="G162" s="8">
        <f>IF(OR(E162="",F162="",E162=0),"",F162/E162)</f>
        <v/>
      </c>
      <c r="H162" s="7" t="n"/>
      <c r="I162" s="7">
        <f>IF(OR(H162="",F162=""),"",H162-F162)</f>
        <v/>
      </c>
      <c r="J162">
        <f>IF(I162="","",IF(I162&lt;=0,"BREACH",IF(I162&lt;=500,"WARNING","OK")))</f>
        <v/>
      </c>
    </row>
    <row r="163">
      <c r="B163" s="7" t="n"/>
      <c r="C163" s="7" t="n"/>
      <c r="D163" s="7">
        <f>IF(OR(B163="",C163=""),"",B163+C163)</f>
        <v/>
      </c>
      <c r="E163" s="7">
        <f>IF(D163="","",MAX($D$2:D163))</f>
        <v/>
      </c>
      <c r="F163" s="7">
        <f>IF(OR(E163="",D163=""),"",E163-D163)</f>
        <v/>
      </c>
      <c r="G163" s="8">
        <f>IF(OR(E163="",F163="",E163=0),"",F163/E163)</f>
        <v/>
      </c>
      <c r="H163" s="7" t="n"/>
      <c r="I163" s="7">
        <f>IF(OR(H163="",F163=""),"",H163-F163)</f>
        <v/>
      </c>
      <c r="J163">
        <f>IF(I163="","",IF(I163&lt;=0,"BREACH",IF(I163&lt;=500,"WARNING","OK")))</f>
        <v/>
      </c>
    </row>
    <row r="164">
      <c r="B164" s="7" t="n"/>
      <c r="C164" s="7" t="n"/>
      <c r="D164" s="7">
        <f>IF(OR(B164="",C164=""),"",B164+C164)</f>
        <v/>
      </c>
      <c r="E164" s="7">
        <f>IF(D164="","",MAX($D$2:D164))</f>
        <v/>
      </c>
      <c r="F164" s="7">
        <f>IF(OR(E164="",D164=""),"",E164-D164)</f>
        <v/>
      </c>
      <c r="G164" s="8">
        <f>IF(OR(E164="",F164="",E164=0),"",F164/E164)</f>
        <v/>
      </c>
      <c r="H164" s="7" t="n"/>
      <c r="I164" s="7">
        <f>IF(OR(H164="",F164=""),"",H164-F164)</f>
        <v/>
      </c>
      <c r="J164">
        <f>IF(I164="","",IF(I164&lt;=0,"BREACH",IF(I164&lt;=500,"WARNING","OK")))</f>
        <v/>
      </c>
    </row>
    <row r="165">
      <c r="B165" s="7" t="n"/>
      <c r="C165" s="7" t="n"/>
      <c r="D165" s="7">
        <f>IF(OR(B165="",C165=""),"",B165+C165)</f>
        <v/>
      </c>
      <c r="E165" s="7">
        <f>IF(D165="","",MAX($D$2:D165))</f>
        <v/>
      </c>
      <c r="F165" s="7">
        <f>IF(OR(E165="",D165=""),"",E165-D165)</f>
        <v/>
      </c>
      <c r="G165" s="8">
        <f>IF(OR(E165="",F165="",E165=0),"",F165/E165)</f>
        <v/>
      </c>
      <c r="H165" s="7" t="n"/>
      <c r="I165" s="7">
        <f>IF(OR(H165="",F165=""),"",H165-F165)</f>
        <v/>
      </c>
      <c r="J165">
        <f>IF(I165="","",IF(I165&lt;=0,"BREACH",IF(I165&lt;=500,"WARNING","OK")))</f>
        <v/>
      </c>
    </row>
    <row r="166">
      <c r="B166" s="7" t="n"/>
      <c r="C166" s="7" t="n"/>
      <c r="D166" s="7">
        <f>IF(OR(B166="",C166=""),"",B166+C166)</f>
        <v/>
      </c>
      <c r="E166" s="7">
        <f>IF(D166="","",MAX($D$2:D166))</f>
        <v/>
      </c>
      <c r="F166" s="7">
        <f>IF(OR(E166="",D166=""),"",E166-D166)</f>
        <v/>
      </c>
      <c r="G166" s="8">
        <f>IF(OR(E166="",F166="",E166=0),"",F166/E166)</f>
        <v/>
      </c>
      <c r="H166" s="7" t="n"/>
      <c r="I166" s="7">
        <f>IF(OR(H166="",F166=""),"",H166-F166)</f>
        <v/>
      </c>
      <c r="J166">
        <f>IF(I166="","",IF(I166&lt;=0,"BREACH",IF(I166&lt;=500,"WARNING","OK")))</f>
        <v/>
      </c>
    </row>
    <row r="167">
      <c r="B167" s="7" t="n"/>
      <c r="C167" s="7" t="n"/>
      <c r="D167" s="7">
        <f>IF(OR(B167="",C167=""),"",B167+C167)</f>
        <v/>
      </c>
      <c r="E167" s="7">
        <f>IF(D167="","",MAX($D$2:D167))</f>
        <v/>
      </c>
      <c r="F167" s="7">
        <f>IF(OR(E167="",D167=""),"",E167-D167)</f>
        <v/>
      </c>
      <c r="G167" s="8">
        <f>IF(OR(E167="",F167="",E167=0),"",F167/E167)</f>
        <v/>
      </c>
      <c r="H167" s="7" t="n"/>
      <c r="I167" s="7">
        <f>IF(OR(H167="",F167=""),"",H167-F167)</f>
        <v/>
      </c>
      <c r="J167">
        <f>IF(I167="","",IF(I167&lt;=0,"BREACH",IF(I167&lt;=500,"WARNING","OK")))</f>
        <v/>
      </c>
    </row>
    <row r="168">
      <c r="B168" s="7" t="n"/>
      <c r="C168" s="7" t="n"/>
      <c r="D168" s="7">
        <f>IF(OR(B168="",C168=""),"",B168+C168)</f>
        <v/>
      </c>
      <c r="E168" s="7">
        <f>IF(D168="","",MAX($D$2:D168))</f>
        <v/>
      </c>
      <c r="F168" s="7">
        <f>IF(OR(E168="",D168=""),"",E168-D168)</f>
        <v/>
      </c>
      <c r="G168" s="8">
        <f>IF(OR(E168="",F168="",E168=0),"",F168/E168)</f>
        <v/>
      </c>
      <c r="H168" s="7" t="n"/>
      <c r="I168" s="7">
        <f>IF(OR(H168="",F168=""),"",H168-F168)</f>
        <v/>
      </c>
      <c r="J168">
        <f>IF(I168="","",IF(I168&lt;=0,"BREACH",IF(I168&lt;=500,"WARNING","OK")))</f>
        <v/>
      </c>
    </row>
    <row r="169">
      <c r="B169" s="7" t="n"/>
      <c r="C169" s="7" t="n"/>
      <c r="D169" s="7">
        <f>IF(OR(B169="",C169=""),"",B169+C169)</f>
        <v/>
      </c>
      <c r="E169" s="7">
        <f>IF(D169="","",MAX($D$2:D169))</f>
        <v/>
      </c>
      <c r="F169" s="7">
        <f>IF(OR(E169="",D169=""),"",E169-D169)</f>
        <v/>
      </c>
      <c r="G169" s="8">
        <f>IF(OR(E169="",F169="",E169=0),"",F169/E169)</f>
        <v/>
      </c>
      <c r="H169" s="7" t="n"/>
      <c r="I169" s="7">
        <f>IF(OR(H169="",F169=""),"",H169-F169)</f>
        <v/>
      </c>
      <c r="J169">
        <f>IF(I169="","",IF(I169&lt;=0,"BREACH",IF(I169&lt;=500,"WARNING","OK")))</f>
        <v/>
      </c>
    </row>
    <row r="170">
      <c r="B170" s="7" t="n"/>
      <c r="C170" s="7" t="n"/>
      <c r="D170" s="7">
        <f>IF(OR(B170="",C170=""),"",B170+C170)</f>
        <v/>
      </c>
      <c r="E170" s="7">
        <f>IF(D170="","",MAX($D$2:D170))</f>
        <v/>
      </c>
      <c r="F170" s="7">
        <f>IF(OR(E170="",D170=""),"",E170-D170)</f>
        <v/>
      </c>
      <c r="G170" s="8">
        <f>IF(OR(E170="",F170="",E170=0),"",F170/E170)</f>
        <v/>
      </c>
      <c r="H170" s="7" t="n"/>
      <c r="I170" s="7">
        <f>IF(OR(H170="",F170=""),"",H170-F170)</f>
        <v/>
      </c>
      <c r="J170">
        <f>IF(I170="","",IF(I170&lt;=0,"BREACH",IF(I170&lt;=500,"WARNING","OK")))</f>
        <v/>
      </c>
    </row>
    <row r="171">
      <c r="B171" s="7" t="n"/>
      <c r="C171" s="7" t="n"/>
      <c r="D171" s="7">
        <f>IF(OR(B171="",C171=""),"",B171+C171)</f>
        <v/>
      </c>
      <c r="E171" s="7">
        <f>IF(D171="","",MAX($D$2:D171))</f>
        <v/>
      </c>
      <c r="F171" s="7">
        <f>IF(OR(E171="",D171=""),"",E171-D171)</f>
        <v/>
      </c>
      <c r="G171" s="8">
        <f>IF(OR(E171="",F171="",E171=0),"",F171/E171)</f>
        <v/>
      </c>
      <c r="H171" s="7" t="n"/>
      <c r="I171" s="7">
        <f>IF(OR(H171="",F171=""),"",H171-F171)</f>
        <v/>
      </c>
      <c r="J171">
        <f>IF(I171="","",IF(I171&lt;=0,"BREACH",IF(I171&lt;=500,"WARNING","OK")))</f>
        <v/>
      </c>
    </row>
    <row r="172">
      <c r="B172" s="7" t="n"/>
      <c r="C172" s="7" t="n"/>
      <c r="D172" s="7">
        <f>IF(OR(B172="",C172=""),"",B172+C172)</f>
        <v/>
      </c>
      <c r="E172" s="7">
        <f>IF(D172="","",MAX($D$2:D172))</f>
        <v/>
      </c>
      <c r="F172" s="7">
        <f>IF(OR(E172="",D172=""),"",E172-D172)</f>
        <v/>
      </c>
      <c r="G172" s="8">
        <f>IF(OR(E172="",F172="",E172=0),"",F172/E172)</f>
        <v/>
      </c>
      <c r="H172" s="7" t="n"/>
      <c r="I172" s="7">
        <f>IF(OR(H172="",F172=""),"",H172-F172)</f>
        <v/>
      </c>
      <c r="J172">
        <f>IF(I172="","",IF(I172&lt;=0,"BREACH",IF(I172&lt;=500,"WARNING","OK")))</f>
        <v/>
      </c>
    </row>
    <row r="173">
      <c r="B173" s="7" t="n"/>
      <c r="C173" s="7" t="n"/>
      <c r="D173" s="7">
        <f>IF(OR(B173="",C173=""),"",B173+C173)</f>
        <v/>
      </c>
      <c r="E173" s="7">
        <f>IF(D173="","",MAX($D$2:D173))</f>
        <v/>
      </c>
      <c r="F173" s="7">
        <f>IF(OR(E173="",D173=""),"",E173-D173)</f>
        <v/>
      </c>
      <c r="G173" s="8">
        <f>IF(OR(E173="",F173="",E173=0),"",F173/E173)</f>
        <v/>
      </c>
      <c r="H173" s="7" t="n"/>
      <c r="I173" s="7">
        <f>IF(OR(H173="",F173=""),"",H173-F173)</f>
        <v/>
      </c>
      <c r="J173">
        <f>IF(I173="","",IF(I173&lt;=0,"BREACH",IF(I173&lt;=500,"WARNING","OK")))</f>
        <v/>
      </c>
    </row>
    <row r="174">
      <c r="B174" s="7" t="n"/>
      <c r="C174" s="7" t="n"/>
      <c r="D174" s="7">
        <f>IF(OR(B174="",C174=""),"",B174+C174)</f>
        <v/>
      </c>
      <c r="E174" s="7">
        <f>IF(D174="","",MAX($D$2:D174))</f>
        <v/>
      </c>
      <c r="F174" s="7">
        <f>IF(OR(E174="",D174=""),"",E174-D174)</f>
        <v/>
      </c>
      <c r="G174" s="8">
        <f>IF(OR(E174="",F174="",E174=0),"",F174/E174)</f>
        <v/>
      </c>
      <c r="H174" s="7" t="n"/>
      <c r="I174" s="7">
        <f>IF(OR(H174="",F174=""),"",H174-F174)</f>
        <v/>
      </c>
      <c r="J174">
        <f>IF(I174="","",IF(I174&lt;=0,"BREACH",IF(I174&lt;=500,"WARNING","OK")))</f>
        <v/>
      </c>
    </row>
    <row r="175">
      <c r="B175" s="7" t="n"/>
      <c r="C175" s="7" t="n"/>
      <c r="D175" s="7">
        <f>IF(OR(B175="",C175=""),"",B175+C175)</f>
        <v/>
      </c>
      <c r="E175" s="7">
        <f>IF(D175="","",MAX($D$2:D175))</f>
        <v/>
      </c>
      <c r="F175" s="7">
        <f>IF(OR(E175="",D175=""),"",E175-D175)</f>
        <v/>
      </c>
      <c r="G175" s="8">
        <f>IF(OR(E175="",F175="",E175=0),"",F175/E175)</f>
        <v/>
      </c>
      <c r="H175" s="7" t="n"/>
      <c r="I175" s="7">
        <f>IF(OR(H175="",F175=""),"",H175-F175)</f>
        <v/>
      </c>
      <c r="J175">
        <f>IF(I175="","",IF(I175&lt;=0,"BREACH",IF(I175&lt;=500,"WARNING","OK")))</f>
        <v/>
      </c>
    </row>
    <row r="176">
      <c r="B176" s="7" t="n"/>
      <c r="C176" s="7" t="n"/>
      <c r="D176" s="7">
        <f>IF(OR(B176="",C176=""),"",B176+C176)</f>
        <v/>
      </c>
      <c r="E176" s="7">
        <f>IF(D176="","",MAX($D$2:D176))</f>
        <v/>
      </c>
      <c r="F176" s="7">
        <f>IF(OR(E176="",D176=""),"",E176-D176)</f>
        <v/>
      </c>
      <c r="G176" s="8">
        <f>IF(OR(E176="",F176="",E176=0),"",F176/E176)</f>
        <v/>
      </c>
      <c r="H176" s="7" t="n"/>
      <c r="I176" s="7">
        <f>IF(OR(H176="",F176=""),"",H176-F176)</f>
        <v/>
      </c>
      <c r="J176">
        <f>IF(I176="","",IF(I176&lt;=0,"BREACH",IF(I176&lt;=500,"WARNING","OK")))</f>
        <v/>
      </c>
    </row>
    <row r="177">
      <c r="B177" s="7" t="n"/>
      <c r="C177" s="7" t="n"/>
      <c r="D177" s="7">
        <f>IF(OR(B177="",C177=""),"",B177+C177)</f>
        <v/>
      </c>
      <c r="E177" s="7">
        <f>IF(D177="","",MAX($D$2:D177))</f>
        <v/>
      </c>
      <c r="F177" s="7">
        <f>IF(OR(E177="",D177=""),"",E177-D177)</f>
        <v/>
      </c>
      <c r="G177" s="8">
        <f>IF(OR(E177="",F177="",E177=0),"",F177/E177)</f>
        <v/>
      </c>
      <c r="H177" s="7" t="n"/>
      <c r="I177" s="7">
        <f>IF(OR(H177="",F177=""),"",H177-F177)</f>
        <v/>
      </c>
      <c r="J177">
        <f>IF(I177="","",IF(I177&lt;=0,"BREACH",IF(I177&lt;=500,"WARNING","OK")))</f>
        <v/>
      </c>
    </row>
    <row r="178">
      <c r="B178" s="7" t="n"/>
      <c r="C178" s="7" t="n"/>
      <c r="D178" s="7">
        <f>IF(OR(B178="",C178=""),"",B178+C178)</f>
        <v/>
      </c>
      <c r="E178" s="7">
        <f>IF(D178="","",MAX($D$2:D178))</f>
        <v/>
      </c>
      <c r="F178" s="7">
        <f>IF(OR(E178="",D178=""),"",E178-D178)</f>
        <v/>
      </c>
      <c r="G178" s="8">
        <f>IF(OR(E178="",F178="",E178=0),"",F178/E178)</f>
        <v/>
      </c>
      <c r="H178" s="7" t="n"/>
      <c r="I178" s="7">
        <f>IF(OR(H178="",F178=""),"",H178-F178)</f>
        <v/>
      </c>
      <c r="J178">
        <f>IF(I178="","",IF(I178&lt;=0,"BREACH",IF(I178&lt;=500,"WARNING","OK")))</f>
        <v/>
      </c>
    </row>
    <row r="179">
      <c r="B179" s="7" t="n"/>
      <c r="C179" s="7" t="n"/>
      <c r="D179" s="7">
        <f>IF(OR(B179="",C179=""),"",B179+C179)</f>
        <v/>
      </c>
      <c r="E179" s="7">
        <f>IF(D179="","",MAX($D$2:D179))</f>
        <v/>
      </c>
      <c r="F179" s="7">
        <f>IF(OR(E179="",D179=""),"",E179-D179)</f>
        <v/>
      </c>
      <c r="G179" s="8">
        <f>IF(OR(E179="",F179="",E179=0),"",F179/E179)</f>
        <v/>
      </c>
      <c r="H179" s="7" t="n"/>
      <c r="I179" s="7">
        <f>IF(OR(H179="",F179=""),"",H179-F179)</f>
        <v/>
      </c>
      <c r="J179">
        <f>IF(I179="","",IF(I179&lt;=0,"BREACH",IF(I179&lt;=500,"WARNING","OK")))</f>
        <v/>
      </c>
    </row>
    <row r="180">
      <c r="B180" s="7" t="n"/>
      <c r="C180" s="7" t="n"/>
      <c r="D180" s="7">
        <f>IF(OR(B180="",C180=""),"",B180+C180)</f>
        <v/>
      </c>
      <c r="E180" s="7">
        <f>IF(D180="","",MAX($D$2:D180))</f>
        <v/>
      </c>
      <c r="F180" s="7">
        <f>IF(OR(E180="",D180=""),"",E180-D180)</f>
        <v/>
      </c>
      <c r="G180" s="8">
        <f>IF(OR(E180="",F180="",E180=0),"",F180/E180)</f>
        <v/>
      </c>
      <c r="H180" s="7" t="n"/>
      <c r="I180" s="7">
        <f>IF(OR(H180="",F180=""),"",H180-F180)</f>
        <v/>
      </c>
      <c r="J180">
        <f>IF(I180="","",IF(I180&lt;=0,"BREACH",IF(I180&lt;=500,"WARNING","OK")))</f>
        <v/>
      </c>
    </row>
    <row r="181">
      <c r="B181" s="7" t="n"/>
      <c r="C181" s="7" t="n"/>
      <c r="D181" s="7">
        <f>IF(OR(B181="",C181=""),"",B181+C181)</f>
        <v/>
      </c>
      <c r="E181" s="7">
        <f>IF(D181="","",MAX($D$2:D181))</f>
        <v/>
      </c>
      <c r="F181" s="7">
        <f>IF(OR(E181="",D181=""),"",E181-D181)</f>
        <v/>
      </c>
      <c r="G181" s="8">
        <f>IF(OR(E181="",F181="",E181=0),"",F181/E181)</f>
        <v/>
      </c>
      <c r="H181" s="7" t="n"/>
      <c r="I181" s="7">
        <f>IF(OR(H181="",F181=""),"",H181-F181)</f>
        <v/>
      </c>
      <c r="J181">
        <f>IF(I181="","",IF(I181&lt;=0,"BREACH",IF(I181&lt;=500,"WARNING","OK")))</f>
        <v/>
      </c>
    </row>
    <row r="182">
      <c r="B182" s="7" t="n"/>
      <c r="C182" s="7" t="n"/>
      <c r="D182" s="7">
        <f>IF(OR(B182="",C182=""),"",B182+C182)</f>
        <v/>
      </c>
      <c r="E182" s="7">
        <f>IF(D182="","",MAX($D$2:D182))</f>
        <v/>
      </c>
      <c r="F182" s="7">
        <f>IF(OR(E182="",D182=""),"",E182-D182)</f>
        <v/>
      </c>
      <c r="G182" s="8">
        <f>IF(OR(E182="",F182="",E182=0),"",F182/E182)</f>
        <v/>
      </c>
      <c r="H182" s="7" t="n"/>
      <c r="I182" s="7">
        <f>IF(OR(H182="",F182=""),"",H182-F182)</f>
        <v/>
      </c>
      <c r="J182">
        <f>IF(I182="","",IF(I182&lt;=0,"BREACH",IF(I182&lt;=500,"WARNING","OK")))</f>
        <v/>
      </c>
    </row>
    <row r="183">
      <c r="B183" s="7" t="n"/>
      <c r="C183" s="7" t="n"/>
      <c r="D183" s="7">
        <f>IF(OR(B183="",C183=""),"",B183+C183)</f>
        <v/>
      </c>
      <c r="E183" s="7">
        <f>IF(D183="","",MAX($D$2:D183))</f>
        <v/>
      </c>
      <c r="F183" s="7">
        <f>IF(OR(E183="",D183=""),"",E183-D183)</f>
        <v/>
      </c>
      <c r="G183" s="8">
        <f>IF(OR(E183="",F183="",E183=0),"",F183/E183)</f>
        <v/>
      </c>
      <c r="H183" s="7" t="n"/>
      <c r="I183" s="7">
        <f>IF(OR(H183="",F183=""),"",H183-F183)</f>
        <v/>
      </c>
      <c r="J183">
        <f>IF(I183="","",IF(I183&lt;=0,"BREACH",IF(I183&lt;=500,"WARNING","OK")))</f>
        <v/>
      </c>
    </row>
    <row r="184">
      <c r="B184" s="7" t="n"/>
      <c r="C184" s="7" t="n"/>
      <c r="D184" s="7">
        <f>IF(OR(B184="",C184=""),"",B184+C184)</f>
        <v/>
      </c>
      <c r="E184" s="7">
        <f>IF(D184="","",MAX($D$2:D184))</f>
        <v/>
      </c>
      <c r="F184" s="7">
        <f>IF(OR(E184="",D184=""),"",E184-D184)</f>
        <v/>
      </c>
      <c r="G184" s="8">
        <f>IF(OR(E184="",F184="",E184=0),"",F184/E184)</f>
        <v/>
      </c>
      <c r="H184" s="7" t="n"/>
      <c r="I184" s="7">
        <f>IF(OR(H184="",F184=""),"",H184-F184)</f>
        <v/>
      </c>
      <c r="J184">
        <f>IF(I184="","",IF(I184&lt;=0,"BREACH",IF(I184&lt;=500,"WARNING","OK")))</f>
        <v/>
      </c>
    </row>
    <row r="185">
      <c r="B185" s="7" t="n"/>
      <c r="C185" s="7" t="n"/>
      <c r="D185" s="7">
        <f>IF(OR(B185="",C185=""),"",B185+C185)</f>
        <v/>
      </c>
      <c r="E185" s="7">
        <f>IF(D185="","",MAX($D$2:D185))</f>
        <v/>
      </c>
      <c r="F185" s="7">
        <f>IF(OR(E185="",D185=""),"",E185-D185)</f>
        <v/>
      </c>
      <c r="G185" s="8">
        <f>IF(OR(E185="",F185="",E185=0),"",F185/E185)</f>
        <v/>
      </c>
      <c r="H185" s="7" t="n"/>
      <c r="I185" s="7">
        <f>IF(OR(H185="",F185=""),"",H185-F185)</f>
        <v/>
      </c>
      <c r="J185">
        <f>IF(I185="","",IF(I185&lt;=0,"BREACH",IF(I185&lt;=500,"WARNING","OK")))</f>
        <v/>
      </c>
    </row>
    <row r="186">
      <c r="B186" s="7" t="n"/>
      <c r="C186" s="7" t="n"/>
      <c r="D186" s="7">
        <f>IF(OR(B186="",C186=""),"",B186+C186)</f>
        <v/>
      </c>
      <c r="E186" s="7">
        <f>IF(D186="","",MAX($D$2:D186))</f>
        <v/>
      </c>
      <c r="F186" s="7">
        <f>IF(OR(E186="",D186=""),"",E186-D186)</f>
        <v/>
      </c>
      <c r="G186" s="8">
        <f>IF(OR(E186="",F186="",E186=0),"",F186/E186)</f>
        <v/>
      </c>
      <c r="H186" s="7" t="n"/>
      <c r="I186" s="7">
        <f>IF(OR(H186="",F186=""),"",H186-F186)</f>
        <v/>
      </c>
      <c r="J186">
        <f>IF(I186="","",IF(I186&lt;=0,"BREACH",IF(I186&lt;=500,"WARNING","OK")))</f>
        <v/>
      </c>
    </row>
    <row r="187">
      <c r="B187" s="7" t="n"/>
      <c r="C187" s="7" t="n"/>
      <c r="D187" s="7">
        <f>IF(OR(B187="",C187=""),"",B187+C187)</f>
        <v/>
      </c>
      <c r="E187" s="7">
        <f>IF(D187="","",MAX($D$2:D187))</f>
        <v/>
      </c>
      <c r="F187" s="7">
        <f>IF(OR(E187="",D187=""),"",E187-D187)</f>
        <v/>
      </c>
      <c r="G187" s="8">
        <f>IF(OR(E187="",F187="",E187=0),"",F187/E187)</f>
        <v/>
      </c>
      <c r="H187" s="7" t="n"/>
      <c r="I187" s="7">
        <f>IF(OR(H187="",F187=""),"",H187-F187)</f>
        <v/>
      </c>
      <c r="J187">
        <f>IF(I187="","",IF(I187&lt;=0,"BREACH",IF(I187&lt;=500,"WARNING","OK")))</f>
        <v/>
      </c>
    </row>
    <row r="188">
      <c r="B188" s="7" t="n"/>
      <c r="C188" s="7" t="n"/>
      <c r="D188" s="7">
        <f>IF(OR(B188="",C188=""),"",B188+C188)</f>
        <v/>
      </c>
      <c r="E188" s="7">
        <f>IF(D188="","",MAX($D$2:D188))</f>
        <v/>
      </c>
      <c r="F188" s="7">
        <f>IF(OR(E188="",D188=""),"",E188-D188)</f>
        <v/>
      </c>
      <c r="G188" s="8">
        <f>IF(OR(E188="",F188="",E188=0),"",F188/E188)</f>
        <v/>
      </c>
      <c r="H188" s="7" t="n"/>
      <c r="I188" s="7">
        <f>IF(OR(H188="",F188=""),"",H188-F188)</f>
        <v/>
      </c>
      <c r="J188">
        <f>IF(I188="","",IF(I188&lt;=0,"BREACH",IF(I188&lt;=500,"WARNING","OK")))</f>
        <v/>
      </c>
    </row>
    <row r="189">
      <c r="B189" s="7" t="n"/>
      <c r="C189" s="7" t="n"/>
      <c r="D189" s="7">
        <f>IF(OR(B189="",C189=""),"",B189+C189)</f>
        <v/>
      </c>
      <c r="E189" s="7">
        <f>IF(D189="","",MAX($D$2:D189))</f>
        <v/>
      </c>
      <c r="F189" s="7">
        <f>IF(OR(E189="",D189=""),"",E189-D189)</f>
        <v/>
      </c>
      <c r="G189" s="8">
        <f>IF(OR(E189="",F189="",E189=0),"",F189/E189)</f>
        <v/>
      </c>
      <c r="H189" s="7" t="n"/>
      <c r="I189" s="7">
        <f>IF(OR(H189="",F189=""),"",H189-F189)</f>
        <v/>
      </c>
      <c r="J189">
        <f>IF(I189="","",IF(I189&lt;=0,"BREACH",IF(I189&lt;=500,"WARNING","OK")))</f>
        <v/>
      </c>
    </row>
    <row r="190">
      <c r="B190" s="7" t="n"/>
      <c r="C190" s="7" t="n"/>
      <c r="D190" s="7">
        <f>IF(OR(B190="",C190=""),"",B190+C190)</f>
        <v/>
      </c>
      <c r="E190" s="7">
        <f>IF(D190="","",MAX($D$2:D190))</f>
        <v/>
      </c>
      <c r="F190" s="7">
        <f>IF(OR(E190="",D190=""),"",E190-D190)</f>
        <v/>
      </c>
      <c r="G190" s="8">
        <f>IF(OR(E190="",F190="",E190=0),"",F190/E190)</f>
        <v/>
      </c>
      <c r="H190" s="7" t="n"/>
      <c r="I190" s="7">
        <f>IF(OR(H190="",F190=""),"",H190-F190)</f>
        <v/>
      </c>
      <c r="J190">
        <f>IF(I190="","",IF(I190&lt;=0,"BREACH",IF(I190&lt;=500,"WARNING","OK")))</f>
        <v/>
      </c>
    </row>
    <row r="191">
      <c r="B191" s="7" t="n"/>
      <c r="C191" s="7" t="n"/>
      <c r="D191" s="7">
        <f>IF(OR(B191="",C191=""),"",B191+C191)</f>
        <v/>
      </c>
      <c r="E191" s="7">
        <f>IF(D191="","",MAX($D$2:D191))</f>
        <v/>
      </c>
      <c r="F191" s="7">
        <f>IF(OR(E191="",D191=""),"",E191-D191)</f>
        <v/>
      </c>
      <c r="G191" s="8">
        <f>IF(OR(E191="",F191="",E191=0),"",F191/E191)</f>
        <v/>
      </c>
      <c r="H191" s="7" t="n"/>
      <c r="I191" s="7">
        <f>IF(OR(H191="",F191=""),"",H191-F191)</f>
        <v/>
      </c>
      <c r="J191">
        <f>IF(I191="","",IF(I191&lt;=0,"BREACH",IF(I191&lt;=500,"WARNING","OK")))</f>
        <v/>
      </c>
    </row>
    <row r="192">
      <c r="B192" s="7" t="n"/>
      <c r="C192" s="7" t="n"/>
      <c r="D192" s="7">
        <f>IF(OR(B192="",C192=""),"",B192+C192)</f>
        <v/>
      </c>
      <c r="E192" s="7">
        <f>IF(D192="","",MAX($D$2:D192))</f>
        <v/>
      </c>
      <c r="F192" s="7">
        <f>IF(OR(E192="",D192=""),"",E192-D192)</f>
        <v/>
      </c>
      <c r="G192" s="8">
        <f>IF(OR(E192="",F192="",E192=0),"",F192/E192)</f>
        <v/>
      </c>
      <c r="H192" s="7" t="n"/>
      <c r="I192" s="7">
        <f>IF(OR(H192="",F192=""),"",H192-F192)</f>
        <v/>
      </c>
      <c r="J192">
        <f>IF(I192="","",IF(I192&lt;=0,"BREACH",IF(I192&lt;=500,"WARNING","OK")))</f>
        <v/>
      </c>
    </row>
    <row r="193">
      <c r="B193" s="7" t="n"/>
      <c r="C193" s="7" t="n"/>
      <c r="D193" s="7">
        <f>IF(OR(B193="",C193=""),"",B193+C193)</f>
        <v/>
      </c>
      <c r="E193" s="7">
        <f>IF(D193="","",MAX($D$2:D193))</f>
        <v/>
      </c>
      <c r="F193" s="7">
        <f>IF(OR(E193="",D193=""),"",E193-D193)</f>
        <v/>
      </c>
      <c r="G193" s="8">
        <f>IF(OR(E193="",F193="",E193=0),"",F193/E193)</f>
        <v/>
      </c>
      <c r="H193" s="7" t="n"/>
      <c r="I193" s="7">
        <f>IF(OR(H193="",F193=""),"",H193-F193)</f>
        <v/>
      </c>
      <c r="J193">
        <f>IF(I193="","",IF(I193&lt;=0,"BREACH",IF(I193&lt;=500,"WARNING","OK")))</f>
        <v/>
      </c>
    </row>
    <row r="194">
      <c r="B194" s="7" t="n"/>
      <c r="C194" s="7" t="n"/>
      <c r="D194" s="7">
        <f>IF(OR(B194="",C194=""),"",B194+C194)</f>
        <v/>
      </c>
      <c r="E194" s="7">
        <f>IF(D194="","",MAX($D$2:D194))</f>
        <v/>
      </c>
      <c r="F194" s="7">
        <f>IF(OR(E194="",D194=""),"",E194-D194)</f>
        <v/>
      </c>
      <c r="G194" s="8">
        <f>IF(OR(E194="",F194="",E194=0),"",F194/E194)</f>
        <v/>
      </c>
      <c r="H194" s="7" t="n"/>
      <c r="I194" s="7">
        <f>IF(OR(H194="",F194=""),"",H194-F194)</f>
        <v/>
      </c>
      <c r="J194">
        <f>IF(I194="","",IF(I194&lt;=0,"BREACH",IF(I194&lt;=500,"WARNING","OK")))</f>
        <v/>
      </c>
    </row>
    <row r="195">
      <c r="B195" s="7" t="n"/>
      <c r="C195" s="7" t="n"/>
      <c r="D195" s="7">
        <f>IF(OR(B195="",C195=""),"",B195+C195)</f>
        <v/>
      </c>
      <c r="E195" s="7">
        <f>IF(D195="","",MAX($D$2:D195))</f>
        <v/>
      </c>
      <c r="F195" s="7">
        <f>IF(OR(E195="",D195=""),"",E195-D195)</f>
        <v/>
      </c>
      <c r="G195" s="8">
        <f>IF(OR(E195="",F195="",E195=0),"",F195/E195)</f>
        <v/>
      </c>
      <c r="H195" s="7" t="n"/>
      <c r="I195" s="7">
        <f>IF(OR(H195="",F195=""),"",H195-F195)</f>
        <v/>
      </c>
      <c r="J195">
        <f>IF(I195="","",IF(I195&lt;=0,"BREACH",IF(I195&lt;=500,"WARNING","OK")))</f>
        <v/>
      </c>
    </row>
    <row r="196">
      <c r="B196" s="7" t="n"/>
      <c r="C196" s="7" t="n"/>
      <c r="D196" s="7">
        <f>IF(OR(B196="",C196=""),"",B196+C196)</f>
        <v/>
      </c>
      <c r="E196" s="7">
        <f>IF(D196="","",MAX($D$2:D196))</f>
        <v/>
      </c>
      <c r="F196" s="7">
        <f>IF(OR(E196="",D196=""),"",E196-D196)</f>
        <v/>
      </c>
      <c r="G196" s="8">
        <f>IF(OR(E196="",F196="",E196=0),"",F196/E196)</f>
        <v/>
      </c>
      <c r="H196" s="7" t="n"/>
      <c r="I196" s="7">
        <f>IF(OR(H196="",F196=""),"",H196-F196)</f>
        <v/>
      </c>
      <c r="J196">
        <f>IF(I196="","",IF(I196&lt;=0,"BREACH",IF(I196&lt;=500,"WARNING","OK")))</f>
        <v/>
      </c>
    </row>
    <row r="197">
      <c r="B197" s="7" t="n"/>
      <c r="C197" s="7" t="n"/>
      <c r="D197" s="7">
        <f>IF(OR(B197="",C197=""),"",B197+C197)</f>
        <v/>
      </c>
      <c r="E197" s="7">
        <f>IF(D197="","",MAX($D$2:D197))</f>
        <v/>
      </c>
      <c r="F197" s="7">
        <f>IF(OR(E197="",D197=""),"",E197-D197)</f>
        <v/>
      </c>
      <c r="G197" s="8">
        <f>IF(OR(E197="",F197="",E197=0),"",F197/E197)</f>
        <v/>
      </c>
      <c r="H197" s="7" t="n"/>
      <c r="I197" s="7">
        <f>IF(OR(H197="",F197=""),"",H197-F197)</f>
        <v/>
      </c>
      <c r="J197">
        <f>IF(I197="","",IF(I197&lt;=0,"BREACH",IF(I197&lt;=500,"WARNING","OK")))</f>
        <v/>
      </c>
    </row>
    <row r="198">
      <c r="B198" s="7" t="n"/>
      <c r="C198" s="7" t="n"/>
      <c r="D198" s="7">
        <f>IF(OR(B198="",C198=""),"",B198+C198)</f>
        <v/>
      </c>
      <c r="E198" s="7">
        <f>IF(D198="","",MAX($D$2:D198))</f>
        <v/>
      </c>
      <c r="F198" s="7">
        <f>IF(OR(E198="",D198=""),"",E198-D198)</f>
        <v/>
      </c>
      <c r="G198" s="8">
        <f>IF(OR(E198="",F198="",E198=0),"",F198/E198)</f>
        <v/>
      </c>
      <c r="H198" s="7" t="n"/>
      <c r="I198" s="7">
        <f>IF(OR(H198="",F198=""),"",H198-F198)</f>
        <v/>
      </c>
      <c r="J198">
        <f>IF(I198="","",IF(I198&lt;=0,"BREACH",IF(I198&lt;=500,"WARNING","OK")))</f>
        <v/>
      </c>
    </row>
    <row r="199">
      <c r="B199" s="7" t="n"/>
      <c r="C199" s="7" t="n"/>
      <c r="D199" s="7">
        <f>IF(OR(B199="",C199=""),"",B199+C199)</f>
        <v/>
      </c>
      <c r="E199" s="7">
        <f>IF(D199="","",MAX($D$2:D199))</f>
        <v/>
      </c>
      <c r="F199" s="7">
        <f>IF(OR(E199="",D199=""),"",E199-D199)</f>
        <v/>
      </c>
      <c r="G199" s="8">
        <f>IF(OR(E199="",F199="",E199=0),"",F199/E199)</f>
        <v/>
      </c>
      <c r="H199" s="7" t="n"/>
      <c r="I199" s="7">
        <f>IF(OR(H199="",F199=""),"",H199-F199)</f>
        <v/>
      </c>
      <c r="J199">
        <f>IF(I199="","",IF(I199&lt;=0,"BREACH",IF(I199&lt;=500,"WARNING","OK")))</f>
        <v/>
      </c>
    </row>
    <row r="200">
      <c r="B200" s="7" t="n"/>
      <c r="C200" s="7" t="n"/>
      <c r="D200" s="7">
        <f>IF(OR(B200="",C200=""),"",B200+C200)</f>
        <v/>
      </c>
      <c r="E200" s="7">
        <f>IF(D200="","",MAX($D$2:D200))</f>
        <v/>
      </c>
      <c r="F200" s="7">
        <f>IF(OR(E200="",D200=""),"",E200-D200)</f>
        <v/>
      </c>
      <c r="G200" s="8">
        <f>IF(OR(E200="",F200="",E200=0),"",F200/E200)</f>
        <v/>
      </c>
      <c r="H200" s="7" t="n"/>
      <c r="I200" s="7">
        <f>IF(OR(H200="",F200=""),"",H200-F200)</f>
        <v/>
      </c>
      <c r="J200">
        <f>IF(I200="","",IF(I200&lt;=0,"BREACH",IF(I200&lt;=500,"WARNING","OK")))</f>
        <v/>
      </c>
    </row>
    <row r="201">
      <c r="B201" s="7" t="n"/>
      <c r="C201" s="7" t="n"/>
      <c r="D201" s="7">
        <f>IF(OR(B201="",C201=""),"",B201+C201)</f>
        <v/>
      </c>
      <c r="E201" s="7">
        <f>IF(D201="","",MAX($D$2:D201))</f>
        <v/>
      </c>
      <c r="F201" s="7">
        <f>IF(OR(E201="",D201=""),"",E201-D201)</f>
        <v/>
      </c>
      <c r="G201" s="8">
        <f>IF(OR(E201="",F201="",E201=0),"",F201/E201)</f>
        <v/>
      </c>
      <c r="H201" s="7" t="n"/>
      <c r="I201" s="7">
        <f>IF(OR(H201="",F201=""),"",H201-F201)</f>
        <v/>
      </c>
      <c r="J201">
        <f>IF(I201="","",IF(I201&lt;=0,"BREACH",IF(I201&lt;=500,"WARNING","OK")))</f>
        <v/>
      </c>
    </row>
    <row r="202">
      <c r="B202" s="7" t="n"/>
      <c r="C202" s="7" t="n"/>
      <c r="D202" s="7">
        <f>IF(OR(B202="",C202=""),"",B202+C202)</f>
        <v/>
      </c>
      <c r="E202" s="7">
        <f>IF(D202="","",MAX($D$2:D202))</f>
        <v/>
      </c>
      <c r="F202" s="7">
        <f>IF(OR(E202="",D202=""),"",E202-D202)</f>
        <v/>
      </c>
      <c r="G202" s="8">
        <f>IF(OR(E202="",F202="",E202=0),"",F202/E202)</f>
        <v/>
      </c>
      <c r="H202" s="7" t="n"/>
      <c r="I202" s="7">
        <f>IF(OR(H202="",F202=""),"",H202-F202)</f>
        <v/>
      </c>
      <c r="J202">
        <f>IF(I202="","",IF(I202&lt;=0,"BREACH",IF(I202&lt;=500,"WARNING","OK")))</f>
        <v/>
      </c>
    </row>
    <row r="203">
      <c r="B203" s="7" t="n"/>
      <c r="C203" s="7" t="n"/>
      <c r="D203" s="7">
        <f>IF(OR(B203="",C203=""),"",B203+C203)</f>
        <v/>
      </c>
      <c r="E203" s="7">
        <f>IF(D203="","",MAX($D$2:D203))</f>
        <v/>
      </c>
      <c r="F203" s="7">
        <f>IF(OR(E203="",D203=""),"",E203-D203)</f>
        <v/>
      </c>
      <c r="G203" s="8">
        <f>IF(OR(E203="",F203="",E203=0),"",F203/E203)</f>
        <v/>
      </c>
      <c r="H203" s="7" t="n"/>
      <c r="I203" s="7">
        <f>IF(OR(H203="",F203=""),"",H203-F203)</f>
        <v/>
      </c>
      <c r="J203">
        <f>IF(I203="","",IF(I203&lt;=0,"BREACH",IF(I203&lt;=500,"WARNING","OK")))</f>
        <v/>
      </c>
    </row>
    <row r="204">
      <c r="B204" s="7" t="n"/>
      <c r="C204" s="7" t="n"/>
      <c r="D204" s="7">
        <f>IF(OR(B204="",C204=""),"",B204+C204)</f>
        <v/>
      </c>
      <c r="E204" s="7">
        <f>IF(D204="","",MAX($D$2:D204))</f>
        <v/>
      </c>
      <c r="F204" s="7">
        <f>IF(OR(E204="",D204=""),"",E204-D204)</f>
        <v/>
      </c>
      <c r="G204" s="8">
        <f>IF(OR(E204="",F204="",E204=0),"",F204/E204)</f>
        <v/>
      </c>
      <c r="H204" s="7" t="n"/>
      <c r="I204" s="7">
        <f>IF(OR(H204="",F204=""),"",H204-F204)</f>
        <v/>
      </c>
      <c r="J204">
        <f>IF(I204="","",IF(I204&lt;=0,"BREACH",IF(I204&lt;=500,"WARNING","OK")))</f>
        <v/>
      </c>
    </row>
    <row r="205">
      <c r="B205" s="7" t="n"/>
      <c r="C205" s="7" t="n"/>
      <c r="D205" s="7">
        <f>IF(OR(B205="",C205=""),"",B205+C205)</f>
        <v/>
      </c>
      <c r="E205" s="7">
        <f>IF(D205="","",MAX($D$2:D205))</f>
        <v/>
      </c>
      <c r="F205" s="7">
        <f>IF(OR(E205="",D205=""),"",E205-D205)</f>
        <v/>
      </c>
      <c r="G205" s="8">
        <f>IF(OR(E205="",F205="",E205=0),"",F205/E205)</f>
        <v/>
      </c>
      <c r="H205" s="7" t="n"/>
      <c r="I205" s="7">
        <f>IF(OR(H205="",F205=""),"",H205-F205)</f>
        <v/>
      </c>
      <c r="J205">
        <f>IF(I205="","",IF(I205&lt;=0,"BREACH",IF(I205&lt;=500,"WARNING","OK")))</f>
        <v/>
      </c>
    </row>
    <row r="206">
      <c r="B206" s="7" t="n"/>
      <c r="C206" s="7" t="n"/>
      <c r="D206" s="7">
        <f>IF(OR(B206="",C206=""),"",B206+C206)</f>
        <v/>
      </c>
      <c r="E206" s="7">
        <f>IF(D206="","",MAX($D$2:D206))</f>
        <v/>
      </c>
      <c r="F206" s="7">
        <f>IF(OR(E206="",D206=""),"",E206-D206)</f>
        <v/>
      </c>
      <c r="G206" s="8">
        <f>IF(OR(E206="",F206="",E206=0),"",F206/E206)</f>
        <v/>
      </c>
      <c r="H206" s="7" t="n"/>
      <c r="I206" s="7">
        <f>IF(OR(H206="",F206=""),"",H206-F206)</f>
        <v/>
      </c>
      <c r="J206">
        <f>IF(I206="","",IF(I206&lt;=0,"BREACH",IF(I206&lt;=500,"WARNING","OK")))</f>
        <v/>
      </c>
    </row>
    <row r="207">
      <c r="B207" s="7" t="n"/>
      <c r="C207" s="7" t="n"/>
      <c r="D207" s="7">
        <f>IF(OR(B207="",C207=""),"",B207+C207)</f>
        <v/>
      </c>
      <c r="E207" s="7">
        <f>IF(D207="","",MAX($D$2:D207))</f>
        <v/>
      </c>
      <c r="F207" s="7">
        <f>IF(OR(E207="",D207=""),"",E207-D207)</f>
        <v/>
      </c>
      <c r="G207" s="8">
        <f>IF(OR(E207="",F207="",E207=0),"",F207/E207)</f>
        <v/>
      </c>
      <c r="H207" s="7" t="n"/>
      <c r="I207" s="7">
        <f>IF(OR(H207="",F207=""),"",H207-F207)</f>
        <v/>
      </c>
      <c r="J207">
        <f>IF(I207="","",IF(I207&lt;=0,"BREACH",IF(I207&lt;=500,"WARNING","OK")))</f>
        <v/>
      </c>
    </row>
    <row r="208">
      <c r="B208" s="7" t="n"/>
      <c r="C208" s="7" t="n"/>
      <c r="D208" s="7">
        <f>IF(OR(B208="",C208=""),"",B208+C208)</f>
        <v/>
      </c>
      <c r="E208" s="7">
        <f>IF(D208="","",MAX($D$2:D208))</f>
        <v/>
      </c>
      <c r="F208" s="7">
        <f>IF(OR(E208="",D208=""),"",E208-D208)</f>
        <v/>
      </c>
      <c r="G208" s="8">
        <f>IF(OR(E208="",F208="",E208=0),"",F208/E208)</f>
        <v/>
      </c>
      <c r="H208" s="7" t="n"/>
      <c r="I208" s="7">
        <f>IF(OR(H208="",F208=""),"",H208-F208)</f>
        <v/>
      </c>
      <c r="J208">
        <f>IF(I208="","",IF(I208&lt;=0,"BREACH",IF(I208&lt;=500,"WARNING","OK")))</f>
        <v/>
      </c>
    </row>
    <row r="209">
      <c r="B209" s="7" t="n"/>
      <c r="C209" s="7" t="n"/>
      <c r="D209" s="7">
        <f>IF(OR(B209="",C209=""),"",B209+C209)</f>
        <v/>
      </c>
      <c r="E209" s="7">
        <f>IF(D209="","",MAX($D$2:D209))</f>
        <v/>
      </c>
      <c r="F209" s="7">
        <f>IF(OR(E209="",D209=""),"",E209-D209)</f>
        <v/>
      </c>
      <c r="G209" s="8">
        <f>IF(OR(E209="",F209="",E209=0),"",F209/E209)</f>
        <v/>
      </c>
      <c r="H209" s="7" t="n"/>
      <c r="I209" s="7">
        <f>IF(OR(H209="",F209=""),"",H209-F209)</f>
        <v/>
      </c>
      <c r="J209">
        <f>IF(I209="","",IF(I209&lt;=0,"BREACH",IF(I209&lt;=500,"WARNING","OK")))</f>
        <v/>
      </c>
    </row>
    <row r="210">
      <c r="B210" s="7" t="n"/>
      <c r="C210" s="7" t="n"/>
      <c r="D210" s="7">
        <f>IF(OR(B210="",C210=""),"",B210+C210)</f>
        <v/>
      </c>
      <c r="E210" s="7">
        <f>IF(D210="","",MAX($D$2:D210))</f>
        <v/>
      </c>
      <c r="F210" s="7">
        <f>IF(OR(E210="",D210=""),"",E210-D210)</f>
        <v/>
      </c>
      <c r="G210" s="8">
        <f>IF(OR(E210="",F210="",E210=0),"",F210/E210)</f>
        <v/>
      </c>
      <c r="H210" s="7" t="n"/>
      <c r="I210" s="7">
        <f>IF(OR(H210="",F210=""),"",H210-F210)</f>
        <v/>
      </c>
      <c r="J210">
        <f>IF(I210="","",IF(I210&lt;=0,"BREACH",IF(I210&lt;=500,"WARNING","OK")))</f>
        <v/>
      </c>
    </row>
    <row r="211">
      <c r="B211" s="7" t="n"/>
      <c r="C211" s="7" t="n"/>
      <c r="D211" s="7">
        <f>IF(OR(B211="",C211=""),"",B211+C211)</f>
        <v/>
      </c>
      <c r="E211" s="7">
        <f>IF(D211="","",MAX($D$2:D211))</f>
        <v/>
      </c>
      <c r="F211" s="7">
        <f>IF(OR(E211="",D211=""),"",E211-D211)</f>
        <v/>
      </c>
      <c r="G211" s="8">
        <f>IF(OR(E211="",F211="",E211=0),"",F211/E211)</f>
        <v/>
      </c>
      <c r="H211" s="7" t="n"/>
      <c r="I211" s="7">
        <f>IF(OR(H211="",F211=""),"",H211-F211)</f>
        <v/>
      </c>
      <c r="J211">
        <f>IF(I211="","",IF(I211&lt;=0,"BREACH",IF(I211&lt;=500,"WARNING","OK")))</f>
        <v/>
      </c>
    </row>
    <row r="212">
      <c r="B212" s="7" t="n"/>
      <c r="C212" s="7" t="n"/>
      <c r="D212" s="7">
        <f>IF(OR(B212="",C212=""),"",B212+C212)</f>
        <v/>
      </c>
      <c r="E212" s="7">
        <f>IF(D212="","",MAX($D$2:D212))</f>
        <v/>
      </c>
      <c r="F212" s="7">
        <f>IF(OR(E212="",D212=""),"",E212-D212)</f>
        <v/>
      </c>
      <c r="G212" s="8">
        <f>IF(OR(E212="",F212="",E212=0),"",F212/E212)</f>
        <v/>
      </c>
      <c r="H212" s="7" t="n"/>
      <c r="I212" s="7">
        <f>IF(OR(H212="",F212=""),"",H212-F212)</f>
        <v/>
      </c>
      <c r="J212">
        <f>IF(I212="","",IF(I212&lt;=0,"BREACH",IF(I212&lt;=500,"WARNING","OK")))</f>
        <v/>
      </c>
    </row>
    <row r="213">
      <c r="B213" s="7" t="n"/>
      <c r="C213" s="7" t="n"/>
      <c r="D213" s="7">
        <f>IF(OR(B213="",C213=""),"",B213+C213)</f>
        <v/>
      </c>
      <c r="E213" s="7">
        <f>IF(D213="","",MAX($D$2:D213))</f>
        <v/>
      </c>
      <c r="F213" s="7">
        <f>IF(OR(E213="",D213=""),"",E213-D213)</f>
        <v/>
      </c>
      <c r="G213" s="8">
        <f>IF(OR(E213="",F213="",E213=0),"",F213/E213)</f>
        <v/>
      </c>
      <c r="H213" s="7" t="n"/>
      <c r="I213" s="7">
        <f>IF(OR(H213="",F213=""),"",H213-F213)</f>
        <v/>
      </c>
      <c r="J213">
        <f>IF(I213="","",IF(I213&lt;=0,"BREACH",IF(I213&lt;=500,"WARNING","OK")))</f>
        <v/>
      </c>
    </row>
    <row r="214">
      <c r="B214" s="7" t="n"/>
      <c r="C214" s="7" t="n"/>
      <c r="D214" s="7">
        <f>IF(OR(B214="",C214=""),"",B214+C214)</f>
        <v/>
      </c>
      <c r="E214" s="7">
        <f>IF(D214="","",MAX($D$2:D214))</f>
        <v/>
      </c>
      <c r="F214" s="7">
        <f>IF(OR(E214="",D214=""),"",E214-D214)</f>
        <v/>
      </c>
      <c r="G214" s="8">
        <f>IF(OR(E214="",F214="",E214=0),"",F214/E214)</f>
        <v/>
      </c>
      <c r="H214" s="7" t="n"/>
      <c r="I214" s="7">
        <f>IF(OR(H214="",F214=""),"",H214-F214)</f>
        <v/>
      </c>
      <c r="J214">
        <f>IF(I214="","",IF(I214&lt;=0,"BREACH",IF(I214&lt;=500,"WARNING","OK")))</f>
        <v/>
      </c>
    </row>
    <row r="215">
      <c r="B215" s="7" t="n"/>
      <c r="C215" s="7" t="n"/>
      <c r="D215" s="7">
        <f>IF(OR(B215="",C215=""),"",B215+C215)</f>
        <v/>
      </c>
      <c r="E215" s="7">
        <f>IF(D215="","",MAX($D$2:D215))</f>
        <v/>
      </c>
      <c r="F215" s="7">
        <f>IF(OR(E215="",D215=""),"",E215-D215)</f>
        <v/>
      </c>
      <c r="G215" s="8">
        <f>IF(OR(E215="",F215="",E215=0),"",F215/E215)</f>
        <v/>
      </c>
      <c r="H215" s="7" t="n"/>
      <c r="I215" s="7">
        <f>IF(OR(H215="",F215=""),"",H215-F215)</f>
        <v/>
      </c>
      <c r="J215">
        <f>IF(I215="","",IF(I215&lt;=0,"BREACH",IF(I215&lt;=500,"WARNING","OK")))</f>
        <v/>
      </c>
    </row>
    <row r="216">
      <c r="B216" s="7" t="n"/>
      <c r="C216" s="7" t="n"/>
      <c r="D216" s="7">
        <f>IF(OR(B216="",C216=""),"",B216+C216)</f>
        <v/>
      </c>
      <c r="E216" s="7">
        <f>IF(D216="","",MAX($D$2:D216))</f>
        <v/>
      </c>
      <c r="F216" s="7">
        <f>IF(OR(E216="",D216=""),"",E216-D216)</f>
        <v/>
      </c>
      <c r="G216" s="8">
        <f>IF(OR(E216="",F216="",E216=0),"",F216/E216)</f>
        <v/>
      </c>
      <c r="H216" s="7" t="n"/>
      <c r="I216" s="7">
        <f>IF(OR(H216="",F216=""),"",H216-F216)</f>
        <v/>
      </c>
      <c r="J216">
        <f>IF(I216="","",IF(I216&lt;=0,"BREACH",IF(I216&lt;=500,"WARNING","OK")))</f>
        <v/>
      </c>
    </row>
    <row r="217">
      <c r="B217" s="7" t="n"/>
      <c r="C217" s="7" t="n"/>
      <c r="D217" s="7">
        <f>IF(OR(B217="",C217=""),"",B217+C217)</f>
        <v/>
      </c>
      <c r="E217" s="7">
        <f>IF(D217="","",MAX($D$2:D217))</f>
        <v/>
      </c>
      <c r="F217" s="7">
        <f>IF(OR(E217="",D217=""),"",E217-D217)</f>
        <v/>
      </c>
      <c r="G217" s="8">
        <f>IF(OR(E217="",F217="",E217=0),"",F217/E217)</f>
        <v/>
      </c>
      <c r="H217" s="7" t="n"/>
      <c r="I217" s="7">
        <f>IF(OR(H217="",F217=""),"",H217-F217)</f>
        <v/>
      </c>
      <c r="J217">
        <f>IF(I217="","",IF(I217&lt;=0,"BREACH",IF(I217&lt;=500,"WARNING","OK")))</f>
        <v/>
      </c>
    </row>
    <row r="218">
      <c r="B218" s="7" t="n"/>
      <c r="C218" s="7" t="n"/>
      <c r="D218" s="7">
        <f>IF(OR(B218="",C218=""),"",B218+C218)</f>
        <v/>
      </c>
      <c r="E218" s="7">
        <f>IF(D218="","",MAX($D$2:D218))</f>
        <v/>
      </c>
      <c r="F218" s="7">
        <f>IF(OR(E218="",D218=""),"",E218-D218)</f>
        <v/>
      </c>
      <c r="G218" s="8">
        <f>IF(OR(E218="",F218="",E218=0),"",F218/E218)</f>
        <v/>
      </c>
      <c r="H218" s="7" t="n"/>
      <c r="I218" s="7">
        <f>IF(OR(H218="",F218=""),"",H218-F218)</f>
        <v/>
      </c>
      <c r="J218">
        <f>IF(I218="","",IF(I218&lt;=0,"BREACH",IF(I218&lt;=500,"WARNING","OK")))</f>
        <v/>
      </c>
    </row>
    <row r="219">
      <c r="B219" s="7" t="n"/>
      <c r="C219" s="7" t="n"/>
      <c r="D219" s="7">
        <f>IF(OR(B219="",C219=""),"",B219+C219)</f>
        <v/>
      </c>
      <c r="E219" s="7">
        <f>IF(D219="","",MAX($D$2:D219))</f>
        <v/>
      </c>
      <c r="F219" s="7">
        <f>IF(OR(E219="",D219=""),"",E219-D219)</f>
        <v/>
      </c>
      <c r="G219" s="8">
        <f>IF(OR(E219="",F219="",E219=0),"",F219/E219)</f>
        <v/>
      </c>
      <c r="H219" s="7" t="n"/>
      <c r="I219" s="7">
        <f>IF(OR(H219="",F219=""),"",H219-F219)</f>
        <v/>
      </c>
      <c r="J219">
        <f>IF(I219="","",IF(I219&lt;=0,"BREACH",IF(I219&lt;=500,"WARNING","OK")))</f>
        <v/>
      </c>
    </row>
    <row r="220">
      <c r="B220" s="7" t="n"/>
      <c r="C220" s="7" t="n"/>
      <c r="D220" s="7">
        <f>IF(OR(B220="",C220=""),"",B220+C220)</f>
        <v/>
      </c>
      <c r="E220" s="7">
        <f>IF(D220="","",MAX($D$2:D220))</f>
        <v/>
      </c>
      <c r="F220" s="7">
        <f>IF(OR(E220="",D220=""),"",E220-D220)</f>
        <v/>
      </c>
      <c r="G220" s="8">
        <f>IF(OR(E220="",F220="",E220=0),"",F220/E220)</f>
        <v/>
      </c>
      <c r="H220" s="7" t="n"/>
      <c r="I220" s="7">
        <f>IF(OR(H220="",F220=""),"",H220-F220)</f>
        <v/>
      </c>
      <c r="J220">
        <f>IF(I220="","",IF(I220&lt;=0,"BREACH",IF(I220&lt;=500,"WARNING","OK")))</f>
        <v/>
      </c>
    </row>
    <row r="221">
      <c r="B221" s="7" t="n"/>
      <c r="C221" s="7" t="n"/>
      <c r="D221" s="7">
        <f>IF(OR(B221="",C221=""),"",B221+C221)</f>
        <v/>
      </c>
      <c r="E221" s="7">
        <f>IF(D221="","",MAX($D$2:D221))</f>
        <v/>
      </c>
      <c r="F221" s="7">
        <f>IF(OR(E221="",D221=""),"",E221-D221)</f>
        <v/>
      </c>
      <c r="G221" s="8">
        <f>IF(OR(E221="",F221="",E221=0),"",F221/E221)</f>
        <v/>
      </c>
      <c r="H221" s="7" t="n"/>
      <c r="I221" s="7">
        <f>IF(OR(H221="",F221=""),"",H221-F221)</f>
        <v/>
      </c>
      <c r="J221">
        <f>IF(I221="","",IF(I221&lt;=0,"BREACH",IF(I221&lt;=500,"WARNING","OK")))</f>
        <v/>
      </c>
    </row>
    <row r="222">
      <c r="B222" s="7" t="n"/>
      <c r="C222" s="7" t="n"/>
      <c r="D222" s="7">
        <f>IF(OR(B222="",C222=""),"",B222+C222)</f>
        <v/>
      </c>
      <c r="E222" s="7">
        <f>IF(D222="","",MAX($D$2:D222))</f>
        <v/>
      </c>
      <c r="F222" s="7">
        <f>IF(OR(E222="",D222=""),"",E222-D222)</f>
        <v/>
      </c>
      <c r="G222" s="8">
        <f>IF(OR(E222="",F222="",E222=0),"",F222/E222)</f>
        <v/>
      </c>
      <c r="H222" s="7" t="n"/>
      <c r="I222" s="7">
        <f>IF(OR(H222="",F222=""),"",H222-F222)</f>
        <v/>
      </c>
      <c r="J222">
        <f>IF(I222="","",IF(I222&lt;=0,"BREACH",IF(I222&lt;=500,"WARNING","OK")))</f>
        <v/>
      </c>
    </row>
    <row r="223">
      <c r="B223" s="7" t="n"/>
      <c r="C223" s="7" t="n"/>
      <c r="D223" s="7">
        <f>IF(OR(B223="",C223=""),"",B223+C223)</f>
        <v/>
      </c>
      <c r="E223" s="7">
        <f>IF(D223="","",MAX($D$2:D223))</f>
        <v/>
      </c>
      <c r="F223" s="7">
        <f>IF(OR(E223="",D223=""),"",E223-D223)</f>
        <v/>
      </c>
      <c r="G223" s="8">
        <f>IF(OR(E223="",F223="",E223=0),"",F223/E223)</f>
        <v/>
      </c>
      <c r="H223" s="7" t="n"/>
      <c r="I223" s="7">
        <f>IF(OR(H223="",F223=""),"",H223-F223)</f>
        <v/>
      </c>
      <c r="J223">
        <f>IF(I223="","",IF(I223&lt;=0,"BREACH",IF(I223&lt;=500,"WARNING","OK")))</f>
        <v/>
      </c>
    </row>
    <row r="224">
      <c r="B224" s="7" t="n"/>
      <c r="C224" s="7" t="n"/>
      <c r="D224" s="7">
        <f>IF(OR(B224="",C224=""),"",B224+C224)</f>
        <v/>
      </c>
      <c r="E224" s="7">
        <f>IF(D224="","",MAX($D$2:D224))</f>
        <v/>
      </c>
      <c r="F224" s="7">
        <f>IF(OR(E224="",D224=""),"",E224-D224)</f>
        <v/>
      </c>
      <c r="G224" s="8">
        <f>IF(OR(E224="",F224="",E224=0),"",F224/E224)</f>
        <v/>
      </c>
      <c r="H224" s="7" t="n"/>
      <c r="I224" s="7">
        <f>IF(OR(H224="",F224=""),"",H224-F224)</f>
        <v/>
      </c>
      <c r="J224">
        <f>IF(I224="","",IF(I224&lt;=0,"BREACH",IF(I224&lt;=500,"WARNING","OK")))</f>
        <v/>
      </c>
    </row>
    <row r="225">
      <c r="B225" s="7" t="n"/>
      <c r="C225" s="7" t="n"/>
      <c r="D225" s="7">
        <f>IF(OR(B225="",C225=""),"",B225+C225)</f>
        <v/>
      </c>
      <c r="E225" s="7">
        <f>IF(D225="","",MAX($D$2:D225))</f>
        <v/>
      </c>
      <c r="F225" s="7">
        <f>IF(OR(E225="",D225=""),"",E225-D225)</f>
        <v/>
      </c>
      <c r="G225" s="8">
        <f>IF(OR(E225="",F225="",E225=0),"",F225/E225)</f>
        <v/>
      </c>
      <c r="H225" s="7" t="n"/>
      <c r="I225" s="7">
        <f>IF(OR(H225="",F225=""),"",H225-F225)</f>
        <v/>
      </c>
      <c r="J225">
        <f>IF(I225="","",IF(I225&lt;=0,"BREACH",IF(I225&lt;=500,"WARNING","OK")))</f>
        <v/>
      </c>
    </row>
    <row r="226">
      <c r="B226" s="7" t="n"/>
      <c r="C226" s="7" t="n"/>
      <c r="D226" s="7">
        <f>IF(OR(B226="",C226=""),"",B226+C226)</f>
        <v/>
      </c>
      <c r="E226" s="7">
        <f>IF(D226="","",MAX($D$2:D226))</f>
        <v/>
      </c>
      <c r="F226" s="7">
        <f>IF(OR(E226="",D226=""),"",E226-D226)</f>
        <v/>
      </c>
      <c r="G226" s="8">
        <f>IF(OR(E226="",F226="",E226=0),"",F226/E226)</f>
        <v/>
      </c>
      <c r="H226" s="7" t="n"/>
      <c r="I226" s="7">
        <f>IF(OR(H226="",F226=""),"",H226-F226)</f>
        <v/>
      </c>
      <c r="J226">
        <f>IF(I226="","",IF(I226&lt;=0,"BREACH",IF(I226&lt;=500,"WARNING","OK")))</f>
        <v/>
      </c>
    </row>
    <row r="227">
      <c r="B227" s="7" t="n"/>
      <c r="C227" s="7" t="n"/>
      <c r="D227" s="7">
        <f>IF(OR(B227="",C227=""),"",B227+C227)</f>
        <v/>
      </c>
      <c r="E227" s="7">
        <f>IF(D227="","",MAX($D$2:D227))</f>
        <v/>
      </c>
      <c r="F227" s="7">
        <f>IF(OR(E227="",D227=""),"",E227-D227)</f>
        <v/>
      </c>
      <c r="G227" s="8">
        <f>IF(OR(E227="",F227="",E227=0),"",F227/E227)</f>
        <v/>
      </c>
      <c r="H227" s="7" t="n"/>
      <c r="I227" s="7">
        <f>IF(OR(H227="",F227=""),"",H227-F227)</f>
        <v/>
      </c>
      <c r="J227">
        <f>IF(I227="","",IF(I227&lt;=0,"BREACH",IF(I227&lt;=500,"WARNING","OK")))</f>
        <v/>
      </c>
    </row>
    <row r="228">
      <c r="B228" s="7" t="n"/>
      <c r="C228" s="7" t="n"/>
      <c r="D228" s="7">
        <f>IF(OR(B228="",C228=""),"",B228+C228)</f>
        <v/>
      </c>
      <c r="E228" s="7">
        <f>IF(D228="","",MAX($D$2:D228))</f>
        <v/>
      </c>
      <c r="F228" s="7">
        <f>IF(OR(E228="",D228=""),"",E228-D228)</f>
        <v/>
      </c>
      <c r="G228" s="8">
        <f>IF(OR(E228="",F228="",E228=0),"",F228/E228)</f>
        <v/>
      </c>
      <c r="H228" s="7" t="n"/>
      <c r="I228" s="7">
        <f>IF(OR(H228="",F228=""),"",H228-F228)</f>
        <v/>
      </c>
      <c r="J228">
        <f>IF(I228="","",IF(I228&lt;=0,"BREACH",IF(I228&lt;=500,"WARNING","OK")))</f>
        <v/>
      </c>
    </row>
    <row r="229">
      <c r="B229" s="7" t="n"/>
      <c r="C229" s="7" t="n"/>
      <c r="D229" s="7">
        <f>IF(OR(B229="",C229=""),"",B229+C229)</f>
        <v/>
      </c>
      <c r="E229" s="7">
        <f>IF(D229="","",MAX($D$2:D229))</f>
        <v/>
      </c>
      <c r="F229" s="7">
        <f>IF(OR(E229="",D229=""),"",E229-D229)</f>
        <v/>
      </c>
      <c r="G229" s="8">
        <f>IF(OR(E229="",F229="",E229=0),"",F229/E229)</f>
        <v/>
      </c>
      <c r="H229" s="7" t="n"/>
      <c r="I229" s="7">
        <f>IF(OR(H229="",F229=""),"",H229-F229)</f>
        <v/>
      </c>
      <c r="J229">
        <f>IF(I229="","",IF(I229&lt;=0,"BREACH",IF(I229&lt;=500,"WARNING","OK")))</f>
        <v/>
      </c>
    </row>
    <row r="230">
      <c r="B230" s="7" t="n"/>
      <c r="C230" s="7" t="n"/>
      <c r="D230" s="7">
        <f>IF(OR(B230="",C230=""),"",B230+C230)</f>
        <v/>
      </c>
      <c r="E230" s="7">
        <f>IF(D230="","",MAX($D$2:D230))</f>
        <v/>
      </c>
      <c r="F230" s="7">
        <f>IF(OR(E230="",D230=""),"",E230-D230)</f>
        <v/>
      </c>
      <c r="G230" s="8">
        <f>IF(OR(E230="",F230="",E230=0),"",F230/E230)</f>
        <v/>
      </c>
      <c r="H230" s="7" t="n"/>
      <c r="I230" s="7">
        <f>IF(OR(H230="",F230=""),"",H230-F230)</f>
        <v/>
      </c>
      <c r="J230">
        <f>IF(I230="","",IF(I230&lt;=0,"BREACH",IF(I230&lt;=500,"WARNING","OK")))</f>
        <v/>
      </c>
    </row>
    <row r="231">
      <c r="B231" s="7" t="n"/>
      <c r="C231" s="7" t="n"/>
      <c r="D231" s="7">
        <f>IF(OR(B231="",C231=""),"",B231+C231)</f>
        <v/>
      </c>
      <c r="E231" s="7">
        <f>IF(D231="","",MAX($D$2:D231))</f>
        <v/>
      </c>
      <c r="F231" s="7">
        <f>IF(OR(E231="",D231=""),"",E231-D231)</f>
        <v/>
      </c>
      <c r="G231" s="8">
        <f>IF(OR(E231="",F231="",E231=0),"",F231/E231)</f>
        <v/>
      </c>
      <c r="H231" s="7" t="n"/>
      <c r="I231" s="7">
        <f>IF(OR(H231="",F231=""),"",H231-F231)</f>
        <v/>
      </c>
      <c r="J231">
        <f>IF(I231="","",IF(I231&lt;=0,"BREACH",IF(I231&lt;=500,"WARNING","OK")))</f>
        <v/>
      </c>
    </row>
    <row r="232">
      <c r="B232" s="7" t="n"/>
      <c r="C232" s="7" t="n"/>
      <c r="D232" s="7">
        <f>IF(OR(B232="",C232=""),"",B232+C232)</f>
        <v/>
      </c>
      <c r="E232" s="7">
        <f>IF(D232="","",MAX($D$2:D232))</f>
        <v/>
      </c>
      <c r="F232" s="7">
        <f>IF(OR(E232="",D232=""),"",E232-D232)</f>
        <v/>
      </c>
      <c r="G232" s="8">
        <f>IF(OR(E232="",F232="",E232=0),"",F232/E232)</f>
        <v/>
      </c>
      <c r="H232" s="7" t="n"/>
      <c r="I232" s="7">
        <f>IF(OR(H232="",F232=""),"",H232-F232)</f>
        <v/>
      </c>
      <c r="J232">
        <f>IF(I232="","",IF(I232&lt;=0,"BREACH",IF(I232&lt;=500,"WARNING","OK")))</f>
        <v/>
      </c>
    </row>
    <row r="233">
      <c r="B233" s="7" t="n"/>
      <c r="C233" s="7" t="n"/>
      <c r="D233" s="7">
        <f>IF(OR(B233="",C233=""),"",B233+C233)</f>
        <v/>
      </c>
      <c r="E233" s="7">
        <f>IF(D233="","",MAX($D$2:D233))</f>
        <v/>
      </c>
      <c r="F233" s="7">
        <f>IF(OR(E233="",D233=""),"",E233-D233)</f>
        <v/>
      </c>
      <c r="G233" s="8">
        <f>IF(OR(E233="",F233="",E233=0),"",F233/E233)</f>
        <v/>
      </c>
      <c r="H233" s="7" t="n"/>
      <c r="I233" s="7">
        <f>IF(OR(H233="",F233=""),"",H233-F233)</f>
        <v/>
      </c>
      <c r="J233">
        <f>IF(I233="","",IF(I233&lt;=0,"BREACH",IF(I233&lt;=500,"WARNING","OK")))</f>
        <v/>
      </c>
    </row>
    <row r="234">
      <c r="B234" s="7" t="n"/>
      <c r="C234" s="7" t="n"/>
      <c r="D234" s="7">
        <f>IF(OR(B234="",C234=""),"",B234+C234)</f>
        <v/>
      </c>
      <c r="E234" s="7">
        <f>IF(D234="","",MAX($D$2:D234))</f>
        <v/>
      </c>
      <c r="F234" s="7">
        <f>IF(OR(E234="",D234=""),"",E234-D234)</f>
        <v/>
      </c>
      <c r="G234" s="8">
        <f>IF(OR(E234="",F234="",E234=0),"",F234/E234)</f>
        <v/>
      </c>
      <c r="H234" s="7" t="n"/>
      <c r="I234" s="7">
        <f>IF(OR(H234="",F234=""),"",H234-F234)</f>
        <v/>
      </c>
      <c r="J234">
        <f>IF(I234="","",IF(I234&lt;=0,"BREACH",IF(I234&lt;=500,"WARNING","OK")))</f>
        <v/>
      </c>
    </row>
    <row r="235">
      <c r="B235" s="7" t="n"/>
      <c r="C235" s="7" t="n"/>
      <c r="D235" s="7">
        <f>IF(OR(B235="",C235=""),"",B235+C235)</f>
        <v/>
      </c>
      <c r="E235" s="7">
        <f>IF(D235="","",MAX($D$2:D235))</f>
        <v/>
      </c>
      <c r="F235" s="7">
        <f>IF(OR(E235="",D235=""),"",E235-D235)</f>
        <v/>
      </c>
      <c r="G235" s="8">
        <f>IF(OR(E235="",F235="",E235=0),"",F235/E235)</f>
        <v/>
      </c>
      <c r="H235" s="7" t="n"/>
      <c r="I235" s="7">
        <f>IF(OR(H235="",F235=""),"",H235-F235)</f>
        <v/>
      </c>
      <c r="J235">
        <f>IF(I235="","",IF(I235&lt;=0,"BREACH",IF(I235&lt;=500,"WARNING","OK")))</f>
        <v/>
      </c>
    </row>
    <row r="236">
      <c r="B236" s="7" t="n"/>
      <c r="C236" s="7" t="n"/>
      <c r="D236" s="7">
        <f>IF(OR(B236="",C236=""),"",B236+C236)</f>
        <v/>
      </c>
      <c r="E236" s="7">
        <f>IF(D236="","",MAX($D$2:D236))</f>
        <v/>
      </c>
      <c r="F236" s="7">
        <f>IF(OR(E236="",D236=""),"",E236-D236)</f>
        <v/>
      </c>
      <c r="G236" s="8">
        <f>IF(OR(E236="",F236="",E236=0),"",F236/E236)</f>
        <v/>
      </c>
      <c r="H236" s="7" t="n"/>
      <c r="I236" s="7">
        <f>IF(OR(H236="",F236=""),"",H236-F236)</f>
        <v/>
      </c>
      <c r="J236">
        <f>IF(I236="","",IF(I236&lt;=0,"BREACH",IF(I236&lt;=500,"WARNING","OK")))</f>
        <v/>
      </c>
    </row>
    <row r="237">
      <c r="B237" s="7" t="n"/>
      <c r="C237" s="7" t="n"/>
      <c r="D237" s="7">
        <f>IF(OR(B237="",C237=""),"",B237+C237)</f>
        <v/>
      </c>
      <c r="E237" s="7">
        <f>IF(D237="","",MAX($D$2:D237))</f>
        <v/>
      </c>
      <c r="F237" s="7">
        <f>IF(OR(E237="",D237=""),"",E237-D237)</f>
        <v/>
      </c>
      <c r="G237" s="8">
        <f>IF(OR(E237="",F237="",E237=0),"",F237/E237)</f>
        <v/>
      </c>
      <c r="H237" s="7" t="n"/>
      <c r="I237" s="7">
        <f>IF(OR(H237="",F237=""),"",H237-F237)</f>
        <v/>
      </c>
      <c r="J237">
        <f>IF(I237="","",IF(I237&lt;=0,"BREACH",IF(I237&lt;=500,"WARNING","OK")))</f>
        <v/>
      </c>
    </row>
    <row r="238">
      <c r="B238" s="7" t="n"/>
      <c r="C238" s="7" t="n"/>
      <c r="D238" s="7">
        <f>IF(OR(B238="",C238=""),"",B238+C238)</f>
        <v/>
      </c>
      <c r="E238" s="7">
        <f>IF(D238="","",MAX($D$2:D238))</f>
        <v/>
      </c>
      <c r="F238" s="7">
        <f>IF(OR(E238="",D238=""),"",E238-D238)</f>
        <v/>
      </c>
      <c r="G238" s="8">
        <f>IF(OR(E238="",F238="",E238=0),"",F238/E238)</f>
        <v/>
      </c>
      <c r="H238" s="7" t="n"/>
      <c r="I238" s="7">
        <f>IF(OR(H238="",F238=""),"",H238-F238)</f>
        <v/>
      </c>
      <c r="J238">
        <f>IF(I238="","",IF(I238&lt;=0,"BREACH",IF(I238&lt;=500,"WARNING","OK")))</f>
        <v/>
      </c>
    </row>
    <row r="239">
      <c r="B239" s="7" t="n"/>
      <c r="C239" s="7" t="n"/>
      <c r="D239" s="7">
        <f>IF(OR(B239="",C239=""),"",B239+C239)</f>
        <v/>
      </c>
      <c r="E239" s="7">
        <f>IF(D239="","",MAX($D$2:D239))</f>
        <v/>
      </c>
      <c r="F239" s="7">
        <f>IF(OR(E239="",D239=""),"",E239-D239)</f>
        <v/>
      </c>
      <c r="G239" s="8">
        <f>IF(OR(E239="",F239="",E239=0),"",F239/E239)</f>
        <v/>
      </c>
      <c r="H239" s="7" t="n"/>
      <c r="I239" s="7">
        <f>IF(OR(H239="",F239=""),"",H239-F239)</f>
        <v/>
      </c>
      <c r="J239">
        <f>IF(I239="","",IF(I239&lt;=0,"BREACH",IF(I239&lt;=500,"WARNING","OK")))</f>
        <v/>
      </c>
    </row>
    <row r="240">
      <c r="B240" s="7" t="n"/>
      <c r="C240" s="7" t="n"/>
      <c r="D240" s="7">
        <f>IF(OR(B240="",C240=""),"",B240+C240)</f>
        <v/>
      </c>
      <c r="E240" s="7">
        <f>IF(D240="","",MAX($D$2:D240))</f>
        <v/>
      </c>
      <c r="F240" s="7">
        <f>IF(OR(E240="",D240=""),"",E240-D240)</f>
        <v/>
      </c>
      <c r="G240" s="8">
        <f>IF(OR(E240="",F240="",E240=0),"",F240/E240)</f>
        <v/>
      </c>
      <c r="H240" s="7" t="n"/>
      <c r="I240" s="7">
        <f>IF(OR(H240="",F240=""),"",H240-F240)</f>
        <v/>
      </c>
      <c r="J240">
        <f>IF(I240="","",IF(I240&lt;=0,"BREACH",IF(I240&lt;=500,"WARNING","OK")))</f>
        <v/>
      </c>
    </row>
    <row r="241">
      <c r="B241" s="7" t="n"/>
      <c r="C241" s="7" t="n"/>
      <c r="D241" s="7">
        <f>IF(OR(B241="",C241=""),"",B241+C241)</f>
        <v/>
      </c>
      <c r="E241" s="7">
        <f>IF(D241="","",MAX($D$2:D241))</f>
        <v/>
      </c>
      <c r="F241" s="7">
        <f>IF(OR(E241="",D241=""),"",E241-D241)</f>
        <v/>
      </c>
      <c r="G241" s="8">
        <f>IF(OR(E241="",F241="",E241=0),"",F241/E241)</f>
        <v/>
      </c>
      <c r="H241" s="7" t="n"/>
      <c r="I241" s="7">
        <f>IF(OR(H241="",F241=""),"",H241-F241)</f>
        <v/>
      </c>
      <c r="J241">
        <f>IF(I241="","",IF(I241&lt;=0,"BREACH",IF(I241&lt;=500,"WARNING","OK")))</f>
        <v/>
      </c>
    </row>
    <row r="242">
      <c r="B242" s="7" t="n"/>
      <c r="C242" s="7" t="n"/>
      <c r="D242" s="7">
        <f>IF(OR(B242="",C242=""),"",B242+C242)</f>
        <v/>
      </c>
      <c r="E242" s="7">
        <f>IF(D242="","",MAX($D$2:D242))</f>
        <v/>
      </c>
      <c r="F242" s="7">
        <f>IF(OR(E242="",D242=""),"",E242-D242)</f>
        <v/>
      </c>
      <c r="G242" s="8">
        <f>IF(OR(E242="",F242="",E242=0),"",F242/E242)</f>
        <v/>
      </c>
      <c r="H242" s="7" t="n"/>
      <c r="I242" s="7">
        <f>IF(OR(H242="",F242=""),"",H242-F242)</f>
        <v/>
      </c>
      <c r="J242">
        <f>IF(I242="","",IF(I242&lt;=0,"BREACH",IF(I242&lt;=500,"WARNING","OK")))</f>
        <v/>
      </c>
    </row>
    <row r="243">
      <c r="B243" s="7" t="n"/>
      <c r="C243" s="7" t="n"/>
      <c r="D243" s="7">
        <f>IF(OR(B243="",C243=""),"",B243+C243)</f>
        <v/>
      </c>
      <c r="E243" s="7">
        <f>IF(D243="","",MAX($D$2:D243))</f>
        <v/>
      </c>
      <c r="F243" s="7">
        <f>IF(OR(E243="",D243=""),"",E243-D243)</f>
        <v/>
      </c>
      <c r="G243" s="8">
        <f>IF(OR(E243="",F243="",E243=0),"",F243/E243)</f>
        <v/>
      </c>
      <c r="H243" s="7" t="n"/>
      <c r="I243" s="7">
        <f>IF(OR(H243="",F243=""),"",H243-F243)</f>
        <v/>
      </c>
      <c r="J243">
        <f>IF(I243="","",IF(I243&lt;=0,"BREACH",IF(I243&lt;=500,"WARNING","OK")))</f>
        <v/>
      </c>
    </row>
    <row r="244">
      <c r="B244" s="7" t="n"/>
      <c r="C244" s="7" t="n"/>
      <c r="D244" s="7">
        <f>IF(OR(B244="",C244=""),"",B244+C244)</f>
        <v/>
      </c>
      <c r="E244" s="7">
        <f>IF(D244="","",MAX($D$2:D244))</f>
        <v/>
      </c>
      <c r="F244" s="7">
        <f>IF(OR(E244="",D244=""),"",E244-D244)</f>
        <v/>
      </c>
      <c r="G244" s="8">
        <f>IF(OR(E244="",F244="",E244=0),"",F244/E244)</f>
        <v/>
      </c>
      <c r="H244" s="7" t="n"/>
      <c r="I244" s="7">
        <f>IF(OR(H244="",F244=""),"",H244-F244)</f>
        <v/>
      </c>
      <c r="J244">
        <f>IF(I244="","",IF(I244&lt;=0,"BREACH",IF(I244&lt;=500,"WARNING","OK")))</f>
        <v/>
      </c>
    </row>
    <row r="245">
      <c r="B245" s="7" t="n"/>
      <c r="C245" s="7" t="n"/>
      <c r="D245" s="7">
        <f>IF(OR(B245="",C245=""),"",B245+C245)</f>
        <v/>
      </c>
      <c r="E245" s="7">
        <f>IF(D245="","",MAX($D$2:D245))</f>
        <v/>
      </c>
      <c r="F245" s="7">
        <f>IF(OR(E245="",D245=""),"",E245-D245)</f>
        <v/>
      </c>
      <c r="G245" s="8">
        <f>IF(OR(E245="",F245="",E245=0),"",F245/E245)</f>
        <v/>
      </c>
      <c r="H245" s="7" t="n"/>
      <c r="I245" s="7">
        <f>IF(OR(H245="",F245=""),"",H245-F245)</f>
        <v/>
      </c>
      <c r="J245">
        <f>IF(I245="","",IF(I245&lt;=0,"BREACH",IF(I245&lt;=500,"WARNING","OK")))</f>
        <v/>
      </c>
    </row>
    <row r="246">
      <c r="B246" s="7" t="n"/>
      <c r="C246" s="7" t="n"/>
      <c r="D246" s="7">
        <f>IF(OR(B246="",C246=""),"",B246+C246)</f>
        <v/>
      </c>
      <c r="E246" s="7">
        <f>IF(D246="","",MAX($D$2:D246))</f>
        <v/>
      </c>
      <c r="F246" s="7">
        <f>IF(OR(E246="",D246=""),"",E246-D246)</f>
        <v/>
      </c>
      <c r="G246" s="8">
        <f>IF(OR(E246="",F246="",E246=0),"",F246/E246)</f>
        <v/>
      </c>
      <c r="H246" s="7" t="n"/>
      <c r="I246" s="7">
        <f>IF(OR(H246="",F246=""),"",H246-F246)</f>
        <v/>
      </c>
      <c r="J246">
        <f>IF(I246="","",IF(I246&lt;=0,"BREACH",IF(I246&lt;=500,"WARNING","OK")))</f>
        <v/>
      </c>
    </row>
    <row r="247">
      <c r="B247" s="7" t="n"/>
      <c r="C247" s="7" t="n"/>
      <c r="D247" s="7">
        <f>IF(OR(B247="",C247=""),"",B247+C247)</f>
        <v/>
      </c>
      <c r="E247" s="7">
        <f>IF(D247="","",MAX($D$2:D247))</f>
        <v/>
      </c>
      <c r="F247" s="7">
        <f>IF(OR(E247="",D247=""),"",E247-D247)</f>
        <v/>
      </c>
      <c r="G247" s="8">
        <f>IF(OR(E247="",F247="",E247=0),"",F247/E247)</f>
        <v/>
      </c>
      <c r="H247" s="7" t="n"/>
      <c r="I247" s="7">
        <f>IF(OR(H247="",F247=""),"",H247-F247)</f>
        <v/>
      </c>
      <c r="J247">
        <f>IF(I247="","",IF(I247&lt;=0,"BREACH",IF(I247&lt;=500,"WARNING","OK")))</f>
        <v/>
      </c>
    </row>
    <row r="248">
      <c r="B248" s="7" t="n"/>
      <c r="C248" s="7" t="n"/>
      <c r="D248" s="7">
        <f>IF(OR(B248="",C248=""),"",B248+C248)</f>
        <v/>
      </c>
      <c r="E248" s="7">
        <f>IF(D248="","",MAX($D$2:D248))</f>
        <v/>
      </c>
      <c r="F248" s="7">
        <f>IF(OR(E248="",D248=""),"",E248-D248)</f>
        <v/>
      </c>
      <c r="G248" s="8">
        <f>IF(OR(E248="",F248="",E248=0),"",F248/E248)</f>
        <v/>
      </c>
      <c r="H248" s="7" t="n"/>
      <c r="I248" s="7">
        <f>IF(OR(H248="",F248=""),"",H248-F248)</f>
        <v/>
      </c>
      <c r="J248">
        <f>IF(I248="","",IF(I248&lt;=0,"BREACH",IF(I248&lt;=500,"WARNING","OK")))</f>
        <v/>
      </c>
    </row>
    <row r="249">
      <c r="B249" s="7" t="n"/>
      <c r="C249" s="7" t="n"/>
      <c r="D249" s="7">
        <f>IF(OR(B249="",C249=""),"",B249+C249)</f>
        <v/>
      </c>
      <c r="E249" s="7">
        <f>IF(D249="","",MAX($D$2:D249))</f>
        <v/>
      </c>
      <c r="F249" s="7">
        <f>IF(OR(E249="",D249=""),"",E249-D249)</f>
        <v/>
      </c>
      <c r="G249" s="8">
        <f>IF(OR(E249="",F249="",E249=0),"",F249/E249)</f>
        <v/>
      </c>
      <c r="H249" s="7" t="n"/>
      <c r="I249" s="7">
        <f>IF(OR(H249="",F249=""),"",H249-F249)</f>
        <v/>
      </c>
      <c r="J249">
        <f>IF(I249="","",IF(I249&lt;=0,"BREACH",IF(I249&lt;=500,"WARNING","OK")))</f>
        <v/>
      </c>
    </row>
    <row r="250">
      <c r="B250" s="7" t="n"/>
      <c r="C250" s="7" t="n"/>
      <c r="D250" s="7">
        <f>IF(OR(B250="",C250=""),"",B250+C250)</f>
        <v/>
      </c>
      <c r="E250" s="7">
        <f>IF(D250="","",MAX($D$2:D250))</f>
        <v/>
      </c>
      <c r="F250" s="7">
        <f>IF(OR(E250="",D250=""),"",E250-D250)</f>
        <v/>
      </c>
      <c r="G250" s="8">
        <f>IF(OR(E250="",F250="",E250=0),"",F250/E250)</f>
        <v/>
      </c>
      <c r="H250" s="7" t="n"/>
      <c r="I250" s="7">
        <f>IF(OR(H250="",F250=""),"",H250-F250)</f>
        <v/>
      </c>
      <c r="J250">
        <f>IF(I250="","",IF(I250&lt;=0,"BREACH",IF(I250&lt;=500,"WARNING","OK")))</f>
        <v/>
      </c>
    </row>
    <row r="251">
      <c r="B251" s="7" t="n"/>
      <c r="C251" s="7" t="n"/>
      <c r="D251" s="7">
        <f>IF(OR(B251="",C251=""),"",B251+C251)</f>
        <v/>
      </c>
      <c r="E251" s="7">
        <f>IF(D251="","",MAX($D$2:D251))</f>
        <v/>
      </c>
      <c r="F251" s="7">
        <f>IF(OR(E251="",D251=""),"",E251-D251)</f>
        <v/>
      </c>
      <c r="G251" s="8">
        <f>IF(OR(E251="",F251="",E251=0),"",F251/E251)</f>
        <v/>
      </c>
      <c r="H251" s="7" t="n"/>
      <c r="I251" s="7">
        <f>IF(OR(H251="",F251=""),"",H251-F251)</f>
        <v/>
      </c>
      <c r="J251">
        <f>IF(I251="","",IF(I251&lt;=0,"BREACH",IF(I251&lt;=500,"WARNING","OK")))</f>
        <v/>
      </c>
    </row>
    <row r="252">
      <c r="B252" s="7" t="n"/>
      <c r="C252" s="7" t="n"/>
      <c r="D252" s="7">
        <f>IF(OR(B252="",C252=""),"",B252+C252)</f>
        <v/>
      </c>
      <c r="E252" s="7">
        <f>IF(D252="","",MAX($D$2:D252))</f>
        <v/>
      </c>
      <c r="F252" s="7">
        <f>IF(OR(E252="",D252=""),"",E252-D252)</f>
        <v/>
      </c>
      <c r="G252" s="8">
        <f>IF(OR(E252="",F252="",E252=0),"",F252/E252)</f>
        <v/>
      </c>
      <c r="H252" s="7" t="n"/>
      <c r="I252" s="7">
        <f>IF(OR(H252="",F252=""),"",H252-F252)</f>
        <v/>
      </c>
      <c r="J252">
        <f>IF(I252="","",IF(I252&lt;=0,"BREACH",IF(I252&lt;=500,"WARNING","OK")))</f>
        <v/>
      </c>
    </row>
    <row r="253">
      <c r="B253" s="7" t="n"/>
      <c r="C253" s="7" t="n"/>
      <c r="D253" s="7">
        <f>IF(OR(B253="",C253=""),"",B253+C253)</f>
        <v/>
      </c>
      <c r="E253" s="7">
        <f>IF(D253="","",MAX($D$2:D253))</f>
        <v/>
      </c>
      <c r="F253" s="7">
        <f>IF(OR(E253="",D253=""),"",E253-D253)</f>
        <v/>
      </c>
      <c r="G253" s="8">
        <f>IF(OR(E253="",F253="",E253=0),"",F253/E253)</f>
        <v/>
      </c>
      <c r="H253" s="7" t="n"/>
      <c r="I253" s="7">
        <f>IF(OR(H253="",F253=""),"",H253-F253)</f>
        <v/>
      </c>
      <c r="J253">
        <f>IF(I253="","",IF(I253&lt;=0,"BREACH",IF(I253&lt;=500,"WARNING","OK")))</f>
        <v/>
      </c>
    </row>
    <row r="254">
      <c r="B254" s="7" t="n"/>
      <c r="C254" s="7" t="n"/>
      <c r="D254" s="7">
        <f>IF(OR(B254="",C254=""),"",B254+C254)</f>
        <v/>
      </c>
      <c r="E254" s="7">
        <f>IF(D254="","",MAX($D$2:D254))</f>
        <v/>
      </c>
      <c r="F254" s="7">
        <f>IF(OR(E254="",D254=""),"",E254-D254)</f>
        <v/>
      </c>
      <c r="G254" s="8">
        <f>IF(OR(E254="",F254="",E254=0),"",F254/E254)</f>
        <v/>
      </c>
      <c r="H254" s="7" t="n"/>
      <c r="I254" s="7">
        <f>IF(OR(H254="",F254=""),"",H254-F254)</f>
        <v/>
      </c>
      <c r="J254">
        <f>IF(I254="","",IF(I254&lt;=0,"BREACH",IF(I254&lt;=500,"WARNING","OK")))</f>
        <v/>
      </c>
    </row>
    <row r="255">
      <c r="B255" s="7" t="n"/>
      <c r="C255" s="7" t="n"/>
      <c r="D255" s="7">
        <f>IF(OR(B255="",C255=""),"",B255+C255)</f>
        <v/>
      </c>
      <c r="E255" s="7">
        <f>IF(D255="","",MAX($D$2:D255))</f>
        <v/>
      </c>
      <c r="F255" s="7">
        <f>IF(OR(E255="",D255=""),"",E255-D255)</f>
        <v/>
      </c>
      <c r="G255" s="8">
        <f>IF(OR(E255="",F255="",E255=0),"",F255/E255)</f>
        <v/>
      </c>
      <c r="H255" s="7" t="n"/>
      <c r="I255" s="7">
        <f>IF(OR(H255="",F255=""),"",H255-F255)</f>
        <v/>
      </c>
      <c r="J255">
        <f>IF(I255="","",IF(I255&lt;=0,"BREACH",IF(I255&lt;=500,"WARNING","OK")))</f>
        <v/>
      </c>
    </row>
    <row r="256">
      <c r="B256" s="7" t="n"/>
      <c r="C256" s="7" t="n"/>
      <c r="D256" s="7">
        <f>IF(OR(B256="",C256=""),"",B256+C256)</f>
        <v/>
      </c>
      <c r="E256" s="7">
        <f>IF(D256="","",MAX($D$2:D256))</f>
        <v/>
      </c>
      <c r="F256" s="7">
        <f>IF(OR(E256="",D256=""),"",E256-D256)</f>
        <v/>
      </c>
      <c r="G256" s="8">
        <f>IF(OR(E256="",F256="",E256=0),"",F256/E256)</f>
        <v/>
      </c>
      <c r="H256" s="7" t="n"/>
      <c r="I256" s="7">
        <f>IF(OR(H256="",F256=""),"",H256-F256)</f>
        <v/>
      </c>
      <c r="J256">
        <f>IF(I256="","",IF(I256&lt;=0,"BREACH",IF(I256&lt;=500,"WARNING","OK")))</f>
        <v/>
      </c>
    </row>
    <row r="257">
      <c r="B257" s="7" t="n"/>
      <c r="C257" s="7" t="n"/>
      <c r="D257" s="7">
        <f>IF(OR(B257="",C257=""),"",B257+C257)</f>
        <v/>
      </c>
      <c r="E257" s="7">
        <f>IF(D257="","",MAX($D$2:D257))</f>
        <v/>
      </c>
      <c r="F257" s="7">
        <f>IF(OR(E257="",D257=""),"",E257-D257)</f>
        <v/>
      </c>
      <c r="G257" s="8">
        <f>IF(OR(E257="",F257="",E257=0),"",F257/E257)</f>
        <v/>
      </c>
      <c r="H257" s="7" t="n"/>
      <c r="I257" s="7">
        <f>IF(OR(H257="",F257=""),"",H257-F257)</f>
        <v/>
      </c>
      <c r="J257">
        <f>IF(I257="","",IF(I257&lt;=0,"BREACH",IF(I257&lt;=500,"WARNING","OK")))</f>
        <v/>
      </c>
    </row>
    <row r="258">
      <c r="B258" s="7" t="n"/>
      <c r="C258" s="7" t="n"/>
      <c r="D258" s="7">
        <f>IF(OR(B258="",C258=""),"",B258+C258)</f>
        <v/>
      </c>
      <c r="E258" s="7">
        <f>IF(D258="","",MAX($D$2:D258))</f>
        <v/>
      </c>
      <c r="F258" s="7">
        <f>IF(OR(E258="",D258=""),"",E258-D258)</f>
        <v/>
      </c>
      <c r="G258" s="8">
        <f>IF(OR(E258="",F258="",E258=0),"",F258/E258)</f>
        <v/>
      </c>
      <c r="H258" s="7" t="n"/>
      <c r="I258" s="7">
        <f>IF(OR(H258="",F258=""),"",H258-F258)</f>
        <v/>
      </c>
      <c r="J258">
        <f>IF(I258="","",IF(I258&lt;=0,"BREACH",IF(I258&lt;=500,"WARNING","OK")))</f>
        <v/>
      </c>
    </row>
    <row r="259">
      <c r="B259" s="7" t="n"/>
      <c r="C259" s="7" t="n"/>
      <c r="D259" s="7">
        <f>IF(OR(B259="",C259=""),"",B259+C259)</f>
        <v/>
      </c>
      <c r="E259" s="7">
        <f>IF(D259="","",MAX($D$2:D259))</f>
        <v/>
      </c>
      <c r="F259" s="7">
        <f>IF(OR(E259="",D259=""),"",E259-D259)</f>
        <v/>
      </c>
      <c r="G259" s="8">
        <f>IF(OR(E259="",F259="",E259=0),"",F259/E259)</f>
        <v/>
      </c>
      <c r="H259" s="7" t="n"/>
      <c r="I259" s="7">
        <f>IF(OR(H259="",F259=""),"",H259-F259)</f>
        <v/>
      </c>
      <c r="J259">
        <f>IF(I259="","",IF(I259&lt;=0,"BREACH",IF(I259&lt;=500,"WARNING","OK")))</f>
        <v/>
      </c>
    </row>
    <row r="260">
      <c r="B260" s="7" t="n"/>
      <c r="C260" s="7" t="n"/>
      <c r="D260" s="7">
        <f>IF(OR(B260="",C260=""),"",B260+C260)</f>
        <v/>
      </c>
      <c r="E260" s="7">
        <f>IF(D260="","",MAX($D$2:D260))</f>
        <v/>
      </c>
      <c r="F260" s="7">
        <f>IF(OR(E260="",D260=""),"",E260-D260)</f>
        <v/>
      </c>
      <c r="G260" s="8">
        <f>IF(OR(E260="",F260="",E260=0),"",F260/E260)</f>
        <v/>
      </c>
      <c r="H260" s="7" t="n"/>
      <c r="I260" s="7">
        <f>IF(OR(H260="",F260=""),"",H260-F260)</f>
        <v/>
      </c>
      <c r="J260">
        <f>IF(I260="","",IF(I260&lt;=0,"BREACH",IF(I260&lt;=500,"WARNING","OK")))</f>
        <v/>
      </c>
    </row>
    <row r="261">
      <c r="B261" s="7" t="n"/>
      <c r="C261" s="7" t="n"/>
      <c r="D261" s="7">
        <f>IF(OR(B261="",C261=""),"",B261+C261)</f>
        <v/>
      </c>
      <c r="E261" s="7">
        <f>IF(D261="","",MAX($D$2:D261))</f>
        <v/>
      </c>
      <c r="F261" s="7">
        <f>IF(OR(E261="",D261=""),"",E261-D261)</f>
        <v/>
      </c>
      <c r="G261" s="8">
        <f>IF(OR(E261="",F261="",E261=0),"",F261/E261)</f>
        <v/>
      </c>
      <c r="H261" s="7" t="n"/>
      <c r="I261" s="7">
        <f>IF(OR(H261="",F261=""),"",H261-F261)</f>
        <v/>
      </c>
      <c r="J261">
        <f>IF(I261="","",IF(I261&lt;=0,"BREACH",IF(I261&lt;=500,"WARNING","OK")))</f>
        <v/>
      </c>
    </row>
    <row r="262">
      <c r="B262" s="7" t="n"/>
      <c r="C262" s="7" t="n"/>
      <c r="D262" s="7">
        <f>IF(OR(B262="",C262=""),"",B262+C262)</f>
        <v/>
      </c>
      <c r="E262" s="7">
        <f>IF(D262="","",MAX($D$2:D262))</f>
        <v/>
      </c>
      <c r="F262" s="7">
        <f>IF(OR(E262="",D262=""),"",E262-D262)</f>
        <v/>
      </c>
      <c r="G262" s="8">
        <f>IF(OR(E262="",F262="",E262=0),"",F262/E262)</f>
        <v/>
      </c>
      <c r="H262" s="7" t="n"/>
      <c r="I262" s="7">
        <f>IF(OR(H262="",F262=""),"",H262-F262)</f>
        <v/>
      </c>
      <c r="J262">
        <f>IF(I262="","",IF(I262&lt;=0,"BREACH",IF(I262&lt;=500,"WARNING","OK")))</f>
        <v/>
      </c>
    </row>
    <row r="263">
      <c r="B263" s="7" t="n"/>
      <c r="C263" s="7" t="n"/>
      <c r="D263" s="7">
        <f>IF(OR(B263="",C263=""),"",B263+C263)</f>
        <v/>
      </c>
      <c r="E263" s="7">
        <f>IF(D263="","",MAX($D$2:D263))</f>
        <v/>
      </c>
      <c r="F263" s="7">
        <f>IF(OR(E263="",D263=""),"",E263-D263)</f>
        <v/>
      </c>
      <c r="G263" s="8">
        <f>IF(OR(E263="",F263="",E263=0),"",F263/E263)</f>
        <v/>
      </c>
      <c r="H263" s="7" t="n"/>
      <c r="I263" s="7">
        <f>IF(OR(H263="",F263=""),"",H263-F263)</f>
        <v/>
      </c>
      <c r="J263">
        <f>IF(I263="","",IF(I263&lt;=0,"BREACH",IF(I263&lt;=500,"WARNING","OK")))</f>
        <v/>
      </c>
    </row>
    <row r="264">
      <c r="B264" s="7" t="n"/>
      <c r="C264" s="7" t="n"/>
      <c r="D264" s="7">
        <f>IF(OR(B264="",C264=""),"",B264+C264)</f>
        <v/>
      </c>
      <c r="E264" s="7">
        <f>IF(D264="","",MAX($D$2:D264))</f>
        <v/>
      </c>
      <c r="F264" s="7">
        <f>IF(OR(E264="",D264=""),"",E264-D264)</f>
        <v/>
      </c>
      <c r="G264" s="8">
        <f>IF(OR(E264="",F264="",E264=0),"",F264/E264)</f>
        <v/>
      </c>
      <c r="H264" s="7" t="n"/>
      <c r="I264" s="7">
        <f>IF(OR(H264="",F264=""),"",H264-F264)</f>
        <v/>
      </c>
      <c r="J264">
        <f>IF(I264="","",IF(I264&lt;=0,"BREACH",IF(I264&lt;=500,"WARNING","OK")))</f>
        <v/>
      </c>
    </row>
    <row r="265">
      <c r="B265" s="7" t="n"/>
      <c r="C265" s="7" t="n"/>
      <c r="D265" s="7">
        <f>IF(OR(B265="",C265=""),"",B265+C265)</f>
        <v/>
      </c>
      <c r="E265" s="7">
        <f>IF(D265="","",MAX($D$2:D265))</f>
        <v/>
      </c>
      <c r="F265" s="7">
        <f>IF(OR(E265="",D265=""),"",E265-D265)</f>
        <v/>
      </c>
      <c r="G265" s="8">
        <f>IF(OR(E265="",F265="",E265=0),"",F265/E265)</f>
        <v/>
      </c>
      <c r="H265" s="7" t="n"/>
      <c r="I265" s="7">
        <f>IF(OR(H265="",F265=""),"",H265-F265)</f>
        <v/>
      </c>
      <c r="J265">
        <f>IF(I265="","",IF(I265&lt;=0,"BREACH",IF(I265&lt;=500,"WARNING","OK")))</f>
        <v/>
      </c>
    </row>
    <row r="266">
      <c r="B266" s="7" t="n"/>
      <c r="C266" s="7" t="n"/>
      <c r="D266" s="7">
        <f>IF(OR(B266="",C266=""),"",B266+C266)</f>
        <v/>
      </c>
      <c r="E266" s="7">
        <f>IF(D266="","",MAX($D$2:D266))</f>
        <v/>
      </c>
      <c r="F266" s="7">
        <f>IF(OR(E266="",D266=""),"",E266-D266)</f>
        <v/>
      </c>
      <c r="G266" s="8">
        <f>IF(OR(E266="",F266="",E266=0),"",F266/E266)</f>
        <v/>
      </c>
      <c r="H266" s="7" t="n"/>
      <c r="I266" s="7">
        <f>IF(OR(H266="",F266=""),"",H266-F266)</f>
        <v/>
      </c>
      <c r="J266">
        <f>IF(I266="","",IF(I266&lt;=0,"BREACH",IF(I266&lt;=500,"WARNING","OK")))</f>
        <v/>
      </c>
    </row>
    <row r="267">
      <c r="B267" s="7" t="n"/>
      <c r="C267" s="7" t="n"/>
      <c r="D267" s="7">
        <f>IF(OR(B267="",C267=""),"",B267+C267)</f>
        <v/>
      </c>
      <c r="E267" s="7">
        <f>IF(D267="","",MAX($D$2:D267))</f>
        <v/>
      </c>
      <c r="F267" s="7">
        <f>IF(OR(E267="",D267=""),"",E267-D267)</f>
        <v/>
      </c>
      <c r="G267" s="8">
        <f>IF(OR(E267="",F267="",E267=0),"",F267/E267)</f>
        <v/>
      </c>
      <c r="H267" s="7" t="n"/>
      <c r="I267" s="7">
        <f>IF(OR(H267="",F267=""),"",H267-F267)</f>
        <v/>
      </c>
      <c r="J267">
        <f>IF(I267="","",IF(I267&lt;=0,"BREACH",IF(I267&lt;=500,"WARNING","OK")))</f>
        <v/>
      </c>
    </row>
    <row r="268">
      <c r="B268" s="7" t="n"/>
      <c r="C268" s="7" t="n"/>
      <c r="D268" s="7">
        <f>IF(OR(B268="",C268=""),"",B268+C268)</f>
        <v/>
      </c>
      <c r="E268" s="7">
        <f>IF(D268="","",MAX($D$2:D268))</f>
        <v/>
      </c>
      <c r="F268" s="7">
        <f>IF(OR(E268="",D268=""),"",E268-D268)</f>
        <v/>
      </c>
      <c r="G268" s="8">
        <f>IF(OR(E268="",F268="",E268=0),"",F268/E268)</f>
        <v/>
      </c>
      <c r="H268" s="7" t="n"/>
      <c r="I268" s="7">
        <f>IF(OR(H268="",F268=""),"",H268-F268)</f>
        <v/>
      </c>
      <c r="J268">
        <f>IF(I268="","",IF(I268&lt;=0,"BREACH",IF(I268&lt;=500,"WARNING","OK")))</f>
        <v/>
      </c>
    </row>
    <row r="269">
      <c r="B269" s="7" t="n"/>
      <c r="C269" s="7" t="n"/>
      <c r="D269" s="7">
        <f>IF(OR(B269="",C269=""),"",B269+C269)</f>
        <v/>
      </c>
      <c r="E269" s="7">
        <f>IF(D269="","",MAX($D$2:D269))</f>
        <v/>
      </c>
      <c r="F269" s="7">
        <f>IF(OR(E269="",D269=""),"",E269-D269)</f>
        <v/>
      </c>
      <c r="G269" s="8">
        <f>IF(OR(E269="",F269="",E269=0),"",F269/E269)</f>
        <v/>
      </c>
      <c r="H269" s="7" t="n"/>
      <c r="I269" s="7">
        <f>IF(OR(H269="",F269=""),"",H269-F269)</f>
        <v/>
      </c>
      <c r="J269">
        <f>IF(I269="","",IF(I269&lt;=0,"BREACH",IF(I269&lt;=500,"WARNING","OK")))</f>
        <v/>
      </c>
    </row>
    <row r="270">
      <c r="B270" s="7" t="n"/>
      <c r="C270" s="7" t="n"/>
      <c r="D270" s="7">
        <f>IF(OR(B270="",C270=""),"",B270+C270)</f>
        <v/>
      </c>
      <c r="E270" s="7">
        <f>IF(D270="","",MAX($D$2:D270))</f>
        <v/>
      </c>
      <c r="F270" s="7">
        <f>IF(OR(E270="",D270=""),"",E270-D270)</f>
        <v/>
      </c>
      <c r="G270" s="8">
        <f>IF(OR(E270="",F270="",E270=0),"",F270/E270)</f>
        <v/>
      </c>
      <c r="H270" s="7" t="n"/>
      <c r="I270" s="7">
        <f>IF(OR(H270="",F270=""),"",H270-F270)</f>
        <v/>
      </c>
      <c r="J270">
        <f>IF(I270="","",IF(I270&lt;=0,"BREACH",IF(I270&lt;=500,"WARNING","OK")))</f>
        <v/>
      </c>
    </row>
    <row r="271">
      <c r="B271" s="7" t="n"/>
      <c r="C271" s="7" t="n"/>
      <c r="D271" s="7">
        <f>IF(OR(B271="",C271=""),"",B271+C271)</f>
        <v/>
      </c>
      <c r="E271" s="7">
        <f>IF(D271="","",MAX($D$2:D271))</f>
        <v/>
      </c>
      <c r="F271" s="7">
        <f>IF(OR(E271="",D271=""),"",E271-D271)</f>
        <v/>
      </c>
      <c r="G271" s="8">
        <f>IF(OR(E271="",F271="",E271=0),"",F271/E271)</f>
        <v/>
      </c>
      <c r="H271" s="7" t="n"/>
      <c r="I271" s="7">
        <f>IF(OR(H271="",F271=""),"",H271-F271)</f>
        <v/>
      </c>
      <c r="J271">
        <f>IF(I271="","",IF(I271&lt;=0,"BREACH",IF(I271&lt;=500,"WARNING","OK")))</f>
        <v/>
      </c>
    </row>
    <row r="272">
      <c r="B272" s="7" t="n"/>
      <c r="C272" s="7" t="n"/>
      <c r="D272" s="7">
        <f>IF(OR(B272="",C272=""),"",B272+C272)</f>
        <v/>
      </c>
      <c r="E272" s="7">
        <f>IF(D272="","",MAX($D$2:D272))</f>
        <v/>
      </c>
      <c r="F272" s="7">
        <f>IF(OR(E272="",D272=""),"",E272-D272)</f>
        <v/>
      </c>
      <c r="G272" s="8">
        <f>IF(OR(E272="",F272="",E272=0),"",F272/E272)</f>
        <v/>
      </c>
      <c r="H272" s="7" t="n"/>
      <c r="I272" s="7">
        <f>IF(OR(H272="",F272=""),"",H272-F272)</f>
        <v/>
      </c>
      <c r="J272">
        <f>IF(I272="","",IF(I272&lt;=0,"BREACH",IF(I272&lt;=500,"WARNING","OK")))</f>
        <v/>
      </c>
    </row>
    <row r="273">
      <c r="B273" s="7" t="n"/>
      <c r="C273" s="7" t="n"/>
      <c r="D273" s="7">
        <f>IF(OR(B273="",C273=""),"",B273+C273)</f>
        <v/>
      </c>
      <c r="E273" s="7">
        <f>IF(D273="","",MAX($D$2:D273))</f>
        <v/>
      </c>
      <c r="F273" s="7">
        <f>IF(OR(E273="",D273=""),"",E273-D273)</f>
        <v/>
      </c>
      <c r="G273" s="8">
        <f>IF(OR(E273="",F273="",E273=0),"",F273/E273)</f>
        <v/>
      </c>
      <c r="H273" s="7" t="n"/>
      <c r="I273" s="7">
        <f>IF(OR(H273="",F273=""),"",H273-F273)</f>
        <v/>
      </c>
      <c r="J273">
        <f>IF(I273="","",IF(I273&lt;=0,"BREACH",IF(I273&lt;=500,"WARNING","OK")))</f>
        <v/>
      </c>
    </row>
    <row r="274">
      <c r="B274" s="7" t="n"/>
      <c r="C274" s="7" t="n"/>
      <c r="D274" s="7">
        <f>IF(OR(B274="",C274=""),"",B274+C274)</f>
        <v/>
      </c>
      <c r="E274" s="7">
        <f>IF(D274="","",MAX($D$2:D274))</f>
        <v/>
      </c>
      <c r="F274" s="7">
        <f>IF(OR(E274="",D274=""),"",E274-D274)</f>
        <v/>
      </c>
      <c r="G274" s="8">
        <f>IF(OR(E274="",F274="",E274=0),"",F274/E274)</f>
        <v/>
      </c>
      <c r="H274" s="7" t="n"/>
      <c r="I274" s="7">
        <f>IF(OR(H274="",F274=""),"",H274-F274)</f>
        <v/>
      </c>
      <c r="J274">
        <f>IF(I274="","",IF(I274&lt;=0,"BREACH",IF(I274&lt;=500,"WARNING","OK")))</f>
        <v/>
      </c>
    </row>
    <row r="275">
      <c r="B275" s="7" t="n"/>
      <c r="C275" s="7" t="n"/>
      <c r="D275" s="7">
        <f>IF(OR(B275="",C275=""),"",B275+C275)</f>
        <v/>
      </c>
      <c r="E275" s="7">
        <f>IF(D275="","",MAX($D$2:D275))</f>
        <v/>
      </c>
      <c r="F275" s="7">
        <f>IF(OR(E275="",D275=""),"",E275-D275)</f>
        <v/>
      </c>
      <c r="G275" s="8">
        <f>IF(OR(E275="",F275="",E275=0),"",F275/E275)</f>
        <v/>
      </c>
      <c r="H275" s="7" t="n"/>
      <c r="I275" s="7">
        <f>IF(OR(H275="",F275=""),"",H275-F275)</f>
        <v/>
      </c>
      <c r="J275">
        <f>IF(I275="","",IF(I275&lt;=0,"BREACH",IF(I275&lt;=500,"WARNING","OK")))</f>
        <v/>
      </c>
    </row>
    <row r="276">
      <c r="B276" s="7" t="n"/>
      <c r="C276" s="7" t="n"/>
      <c r="D276" s="7">
        <f>IF(OR(B276="",C276=""),"",B276+C276)</f>
        <v/>
      </c>
      <c r="E276" s="7">
        <f>IF(D276="","",MAX($D$2:D276))</f>
        <v/>
      </c>
      <c r="F276" s="7">
        <f>IF(OR(E276="",D276=""),"",E276-D276)</f>
        <v/>
      </c>
      <c r="G276" s="8">
        <f>IF(OR(E276="",F276="",E276=0),"",F276/E276)</f>
        <v/>
      </c>
      <c r="H276" s="7" t="n"/>
      <c r="I276" s="7">
        <f>IF(OR(H276="",F276=""),"",H276-F276)</f>
        <v/>
      </c>
      <c r="J276">
        <f>IF(I276="","",IF(I276&lt;=0,"BREACH",IF(I276&lt;=500,"WARNING","OK")))</f>
        <v/>
      </c>
    </row>
    <row r="277">
      <c r="B277" s="7" t="n"/>
      <c r="C277" s="7" t="n"/>
      <c r="D277" s="7">
        <f>IF(OR(B277="",C277=""),"",B277+C277)</f>
        <v/>
      </c>
      <c r="E277" s="7">
        <f>IF(D277="","",MAX($D$2:D277))</f>
        <v/>
      </c>
      <c r="F277" s="7">
        <f>IF(OR(E277="",D277=""),"",E277-D277)</f>
        <v/>
      </c>
      <c r="G277" s="8">
        <f>IF(OR(E277="",F277="",E277=0),"",F277/E277)</f>
        <v/>
      </c>
      <c r="H277" s="7" t="n"/>
      <c r="I277" s="7">
        <f>IF(OR(H277="",F277=""),"",H277-F277)</f>
        <v/>
      </c>
      <c r="J277">
        <f>IF(I277="","",IF(I277&lt;=0,"BREACH",IF(I277&lt;=500,"WARNING","OK")))</f>
        <v/>
      </c>
    </row>
    <row r="278">
      <c r="B278" s="7" t="n"/>
      <c r="C278" s="7" t="n"/>
      <c r="D278" s="7">
        <f>IF(OR(B278="",C278=""),"",B278+C278)</f>
        <v/>
      </c>
      <c r="E278" s="7">
        <f>IF(D278="","",MAX($D$2:D278))</f>
        <v/>
      </c>
      <c r="F278" s="7">
        <f>IF(OR(E278="",D278=""),"",E278-D278)</f>
        <v/>
      </c>
      <c r="G278" s="8">
        <f>IF(OR(E278="",F278="",E278=0),"",F278/E278)</f>
        <v/>
      </c>
      <c r="H278" s="7" t="n"/>
      <c r="I278" s="7">
        <f>IF(OR(H278="",F278=""),"",H278-F278)</f>
        <v/>
      </c>
      <c r="J278">
        <f>IF(I278="","",IF(I278&lt;=0,"BREACH",IF(I278&lt;=500,"WARNING","OK")))</f>
        <v/>
      </c>
    </row>
    <row r="279">
      <c r="B279" s="7" t="n"/>
      <c r="C279" s="7" t="n"/>
      <c r="D279" s="7">
        <f>IF(OR(B279="",C279=""),"",B279+C279)</f>
        <v/>
      </c>
      <c r="E279" s="7">
        <f>IF(D279="","",MAX($D$2:D279))</f>
        <v/>
      </c>
      <c r="F279" s="7">
        <f>IF(OR(E279="",D279=""),"",E279-D279)</f>
        <v/>
      </c>
      <c r="G279" s="8">
        <f>IF(OR(E279="",F279="",E279=0),"",F279/E279)</f>
        <v/>
      </c>
      <c r="H279" s="7" t="n"/>
      <c r="I279" s="7">
        <f>IF(OR(H279="",F279=""),"",H279-F279)</f>
        <v/>
      </c>
      <c r="J279">
        <f>IF(I279="","",IF(I279&lt;=0,"BREACH",IF(I279&lt;=500,"WARNING","OK")))</f>
        <v/>
      </c>
    </row>
    <row r="280">
      <c r="B280" s="7" t="n"/>
      <c r="C280" s="7" t="n"/>
      <c r="D280" s="7">
        <f>IF(OR(B280="",C280=""),"",B280+C280)</f>
        <v/>
      </c>
      <c r="E280" s="7">
        <f>IF(D280="","",MAX($D$2:D280))</f>
        <v/>
      </c>
      <c r="F280" s="7">
        <f>IF(OR(E280="",D280=""),"",E280-D280)</f>
        <v/>
      </c>
      <c r="G280" s="8">
        <f>IF(OR(E280="",F280="",E280=0),"",F280/E280)</f>
        <v/>
      </c>
      <c r="H280" s="7" t="n"/>
      <c r="I280" s="7">
        <f>IF(OR(H280="",F280=""),"",H280-F280)</f>
        <v/>
      </c>
      <c r="J280">
        <f>IF(I280="","",IF(I280&lt;=0,"BREACH",IF(I280&lt;=500,"WARNING","OK")))</f>
        <v/>
      </c>
    </row>
    <row r="281">
      <c r="B281" s="7" t="n"/>
      <c r="C281" s="7" t="n"/>
      <c r="D281" s="7">
        <f>IF(OR(B281="",C281=""),"",B281+C281)</f>
        <v/>
      </c>
      <c r="E281" s="7">
        <f>IF(D281="","",MAX($D$2:D281))</f>
        <v/>
      </c>
      <c r="F281" s="7">
        <f>IF(OR(E281="",D281=""),"",E281-D281)</f>
        <v/>
      </c>
      <c r="G281" s="8">
        <f>IF(OR(E281="",F281="",E281=0),"",F281/E281)</f>
        <v/>
      </c>
      <c r="H281" s="7" t="n"/>
      <c r="I281" s="7">
        <f>IF(OR(H281="",F281=""),"",H281-F281)</f>
        <v/>
      </c>
      <c r="J281">
        <f>IF(I281="","",IF(I281&lt;=0,"BREACH",IF(I281&lt;=500,"WARNING","OK")))</f>
        <v/>
      </c>
    </row>
    <row r="282">
      <c r="B282" s="7" t="n"/>
      <c r="C282" s="7" t="n"/>
      <c r="D282" s="7">
        <f>IF(OR(B282="",C282=""),"",B282+C282)</f>
        <v/>
      </c>
      <c r="E282" s="7">
        <f>IF(D282="","",MAX($D$2:D282))</f>
        <v/>
      </c>
      <c r="F282" s="7">
        <f>IF(OR(E282="",D282=""),"",E282-D282)</f>
        <v/>
      </c>
      <c r="G282" s="8">
        <f>IF(OR(E282="",F282="",E282=0),"",F282/E282)</f>
        <v/>
      </c>
      <c r="H282" s="7" t="n"/>
      <c r="I282" s="7">
        <f>IF(OR(H282="",F282=""),"",H282-F282)</f>
        <v/>
      </c>
      <c r="J282">
        <f>IF(I282="","",IF(I282&lt;=0,"BREACH",IF(I282&lt;=500,"WARNING","OK")))</f>
        <v/>
      </c>
    </row>
    <row r="283">
      <c r="B283" s="7" t="n"/>
      <c r="C283" s="7" t="n"/>
      <c r="D283" s="7">
        <f>IF(OR(B283="",C283=""),"",B283+C283)</f>
        <v/>
      </c>
      <c r="E283" s="7">
        <f>IF(D283="","",MAX($D$2:D283))</f>
        <v/>
      </c>
      <c r="F283" s="7">
        <f>IF(OR(E283="",D283=""),"",E283-D283)</f>
        <v/>
      </c>
      <c r="G283" s="8">
        <f>IF(OR(E283="",F283="",E283=0),"",F283/E283)</f>
        <v/>
      </c>
      <c r="H283" s="7" t="n"/>
      <c r="I283" s="7">
        <f>IF(OR(H283="",F283=""),"",H283-F283)</f>
        <v/>
      </c>
      <c r="J283">
        <f>IF(I283="","",IF(I283&lt;=0,"BREACH",IF(I283&lt;=500,"WARNING","OK")))</f>
        <v/>
      </c>
    </row>
    <row r="284">
      <c r="B284" s="7" t="n"/>
      <c r="C284" s="7" t="n"/>
      <c r="D284" s="7">
        <f>IF(OR(B284="",C284=""),"",B284+C284)</f>
        <v/>
      </c>
      <c r="E284" s="7">
        <f>IF(D284="","",MAX($D$2:D284))</f>
        <v/>
      </c>
      <c r="F284" s="7">
        <f>IF(OR(E284="",D284=""),"",E284-D284)</f>
        <v/>
      </c>
      <c r="G284" s="8">
        <f>IF(OR(E284="",F284="",E284=0),"",F284/E284)</f>
        <v/>
      </c>
      <c r="H284" s="7" t="n"/>
      <c r="I284" s="7">
        <f>IF(OR(H284="",F284=""),"",H284-F284)</f>
        <v/>
      </c>
      <c r="J284">
        <f>IF(I284="","",IF(I284&lt;=0,"BREACH",IF(I284&lt;=500,"WARNING","OK")))</f>
        <v/>
      </c>
    </row>
    <row r="285">
      <c r="B285" s="7" t="n"/>
      <c r="C285" s="7" t="n"/>
      <c r="D285" s="7">
        <f>IF(OR(B285="",C285=""),"",B285+C285)</f>
        <v/>
      </c>
      <c r="E285" s="7">
        <f>IF(D285="","",MAX($D$2:D285))</f>
        <v/>
      </c>
      <c r="F285" s="7">
        <f>IF(OR(E285="",D285=""),"",E285-D285)</f>
        <v/>
      </c>
      <c r="G285" s="8">
        <f>IF(OR(E285="",F285="",E285=0),"",F285/E285)</f>
        <v/>
      </c>
      <c r="H285" s="7" t="n"/>
      <c r="I285" s="7">
        <f>IF(OR(H285="",F285=""),"",H285-F285)</f>
        <v/>
      </c>
      <c r="J285">
        <f>IF(I285="","",IF(I285&lt;=0,"BREACH",IF(I285&lt;=500,"WARNING","OK")))</f>
        <v/>
      </c>
    </row>
    <row r="286">
      <c r="B286" s="7" t="n"/>
      <c r="C286" s="7" t="n"/>
      <c r="D286" s="7">
        <f>IF(OR(B286="",C286=""),"",B286+C286)</f>
        <v/>
      </c>
      <c r="E286" s="7">
        <f>IF(D286="","",MAX($D$2:D286))</f>
        <v/>
      </c>
      <c r="F286" s="7">
        <f>IF(OR(E286="",D286=""),"",E286-D286)</f>
        <v/>
      </c>
      <c r="G286" s="8">
        <f>IF(OR(E286="",F286="",E286=0),"",F286/E286)</f>
        <v/>
      </c>
      <c r="H286" s="7" t="n"/>
      <c r="I286" s="7">
        <f>IF(OR(H286="",F286=""),"",H286-F286)</f>
        <v/>
      </c>
      <c r="J286">
        <f>IF(I286="","",IF(I286&lt;=0,"BREACH",IF(I286&lt;=500,"WARNING","OK")))</f>
        <v/>
      </c>
    </row>
    <row r="287">
      <c r="B287" s="7" t="n"/>
      <c r="C287" s="7" t="n"/>
      <c r="D287" s="7">
        <f>IF(OR(B287="",C287=""),"",B287+C287)</f>
        <v/>
      </c>
      <c r="E287" s="7">
        <f>IF(D287="","",MAX($D$2:D287))</f>
        <v/>
      </c>
      <c r="F287" s="7">
        <f>IF(OR(E287="",D287=""),"",E287-D287)</f>
        <v/>
      </c>
      <c r="G287" s="8">
        <f>IF(OR(E287="",F287="",E287=0),"",F287/E287)</f>
        <v/>
      </c>
      <c r="H287" s="7" t="n"/>
      <c r="I287" s="7">
        <f>IF(OR(H287="",F287=""),"",H287-F287)</f>
        <v/>
      </c>
      <c r="J287">
        <f>IF(I287="","",IF(I287&lt;=0,"BREACH",IF(I287&lt;=500,"WARNING","OK")))</f>
        <v/>
      </c>
    </row>
    <row r="288">
      <c r="B288" s="7" t="n"/>
      <c r="C288" s="7" t="n"/>
      <c r="D288" s="7">
        <f>IF(OR(B288="",C288=""),"",B288+C288)</f>
        <v/>
      </c>
      <c r="E288" s="7">
        <f>IF(D288="","",MAX($D$2:D288))</f>
        <v/>
      </c>
      <c r="F288" s="7">
        <f>IF(OR(E288="",D288=""),"",E288-D288)</f>
        <v/>
      </c>
      <c r="G288" s="8">
        <f>IF(OR(E288="",F288="",E288=0),"",F288/E288)</f>
        <v/>
      </c>
      <c r="H288" s="7" t="n"/>
      <c r="I288" s="7">
        <f>IF(OR(H288="",F288=""),"",H288-F288)</f>
        <v/>
      </c>
      <c r="J288">
        <f>IF(I288="","",IF(I288&lt;=0,"BREACH",IF(I288&lt;=500,"WARNING","OK")))</f>
        <v/>
      </c>
    </row>
    <row r="289">
      <c r="B289" s="7" t="n"/>
      <c r="C289" s="7" t="n"/>
      <c r="D289" s="7">
        <f>IF(OR(B289="",C289=""),"",B289+C289)</f>
        <v/>
      </c>
      <c r="E289" s="7">
        <f>IF(D289="","",MAX($D$2:D289))</f>
        <v/>
      </c>
      <c r="F289" s="7">
        <f>IF(OR(E289="",D289=""),"",E289-D289)</f>
        <v/>
      </c>
      <c r="G289" s="8">
        <f>IF(OR(E289="",F289="",E289=0),"",F289/E289)</f>
        <v/>
      </c>
      <c r="H289" s="7" t="n"/>
      <c r="I289" s="7">
        <f>IF(OR(H289="",F289=""),"",H289-F289)</f>
        <v/>
      </c>
      <c r="J289">
        <f>IF(I289="","",IF(I289&lt;=0,"BREACH",IF(I289&lt;=500,"WARNING","OK")))</f>
        <v/>
      </c>
    </row>
    <row r="290">
      <c r="B290" s="7" t="n"/>
      <c r="C290" s="7" t="n"/>
      <c r="D290" s="7">
        <f>IF(OR(B290="",C290=""),"",B290+C290)</f>
        <v/>
      </c>
      <c r="E290" s="7">
        <f>IF(D290="","",MAX($D$2:D290))</f>
        <v/>
      </c>
      <c r="F290" s="7">
        <f>IF(OR(E290="",D290=""),"",E290-D290)</f>
        <v/>
      </c>
      <c r="G290" s="8">
        <f>IF(OR(E290="",F290="",E290=0),"",F290/E290)</f>
        <v/>
      </c>
      <c r="H290" s="7" t="n"/>
      <c r="I290" s="7">
        <f>IF(OR(H290="",F290=""),"",H290-F290)</f>
        <v/>
      </c>
      <c r="J290">
        <f>IF(I290="","",IF(I290&lt;=0,"BREACH",IF(I290&lt;=500,"WARNING","OK")))</f>
        <v/>
      </c>
    </row>
    <row r="291">
      <c r="B291" s="7" t="n"/>
      <c r="C291" s="7" t="n"/>
      <c r="D291" s="7">
        <f>IF(OR(B291="",C291=""),"",B291+C291)</f>
        <v/>
      </c>
      <c r="E291" s="7">
        <f>IF(D291="","",MAX($D$2:D291))</f>
        <v/>
      </c>
      <c r="F291" s="7">
        <f>IF(OR(E291="",D291=""),"",E291-D291)</f>
        <v/>
      </c>
      <c r="G291" s="8">
        <f>IF(OR(E291="",F291="",E291=0),"",F291/E291)</f>
        <v/>
      </c>
      <c r="H291" s="7" t="n"/>
      <c r="I291" s="7">
        <f>IF(OR(H291="",F291=""),"",H291-F291)</f>
        <v/>
      </c>
      <c r="J291">
        <f>IF(I291="","",IF(I291&lt;=0,"BREACH",IF(I291&lt;=500,"WARNING","OK")))</f>
        <v/>
      </c>
    </row>
    <row r="292">
      <c r="B292" s="7" t="n"/>
      <c r="C292" s="7" t="n"/>
      <c r="D292" s="7">
        <f>IF(OR(B292="",C292=""),"",B292+C292)</f>
        <v/>
      </c>
      <c r="E292" s="7">
        <f>IF(D292="","",MAX($D$2:D292))</f>
        <v/>
      </c>
      <c r="F292" s="7">
        <f>IF(OR(E292="",D292=""),"",E292-D292)</f>
        <v/>
      </c>
      <c r="G292" s="8">
        <f>IF(OR(E292="",F292="",E292=0),"",F292/E292)</f>
        <v/>
      </c>
      <c r="H292" s="7" t="n"/>
      <c r="I292" s="7">
        <f>IF(OR(H292="",F292=""),"",H292-F292)</f>
        <v/>
      </c>
      <c r="J292">
        <f>IF(I292="","",IF(I292&lt;=0,"BREACH",IF(I292&lt;=500,"WARNING","OK")))</f>
        <v/>
      </c>
    </row>
    <row r="293">
      <c r="B293" s="7" t="n"/>
      <c r="C293" s="7" t="n"/>
      <c r="D293" s="7">
        <f>IF(OR(B293="",C293=""),"",B293+C293)</f>
        <v/>
      </c>
      <c r="E293" s="7">
        <f>IF(D293="","",MAX($D$2:D293))</f>
        <v/>
      </c>
      <c r="F293" s="7">
        <f>IF(OR(E293="",D293=""),"",E293-D293)</f>
        <v/>
      </c>
      <c r="G293" s="8">
        <f>IF(OR(E293="",F293="",E293=0),"",F293/E293)</f>
        <v/>
      </c>
      <c r="H293" s="7" t="n"/>
      <c r="I293" s="7">
        <f>IF(OR(H293="",F293=""),"",H293-F293)</f>
        <v/>
      </c>
      <c r="J293">
        <f>IF(I293="","",IF(I293&lt;=0,"BREACH",IF(I293&lt;=500,"WARNING","OK")))</f>
        <v/>
      </c>
    </row>
    <row r="294">
      <c r="B294" s="7" t="n"/>
      <c r="C294" s="7" t="n"/>
      <c r="D294" s="7">
        <f>IF(OR(B294="",C294=""),"",B294+C294)</f>
        <v/>
      </c>
      <c r="E294" s="7">
        <f>IF(D294="","",MAX($D$2:D294))</f>
        <v/>
      </c>
      <c r="F294" s="7">
        <f>IF(OR(E294="",D294=""),"",E294-D294)</f>
        <v/>
      </c>
      <c r="G294" s="8">
        <f>IF(OR(E294="",F294="",E294=0),"",F294/E294)</f>
        <v/>
      </c>
      <c r="H294" s="7" t="n"/>
      <c r="I294" s="7">
        <f>IF(OR(H294="",F294=""),"",H294-F294)</f>
        <v/>
      </c>
      <c r="J294">
        <f>IF(I294="","",IF(I294&lt;=0,"BREACH",IF(I294&lt;=500,"WARNING","OK")))</f>
        <v/>
      </c>
    </row>
    <row r="295">
      <c r="B295" s="7" t="n"/>
      <c r="C295" s="7" t="n"/>
      <c r="D295" s="7">
        <f>IF(OR(B295="",C295=""),"",B295+C295)</f>
        <v/>
      </c>
      <c r="E295" s="7">
        <f>IF(D295="","",MAX($D$2:D295))</f>
        <v/>
      </c>
      <c r="F295" s="7">
        <f>IF(OR(E295="",D295=""),"",E295-D295)</f>
        <v/>
      </c>
      <c r="G295" s="8">
        <f>IF(OR(E295="",F295="",E295=0),"",F295/E295)</f>
        <v/>
      </c>
      <c r="H295" s="7" t="n"/>
      <c r="I295" s="7">
        <f>IF(OR(H295="",F295=""),"",H295-F295)</f>
        <v/>
      </c>
      <c r="J295">
        <f>IF(I295="","",IF(I295&lt;=0,"BREACH",IF(I295&lt;=500,"WARNING","OK")))</f>
        <v/>
      </c>
    </row>
    <row r="296">
      <c r="B296" s="7" t="n"/>
      <c r="C296" s="7" t="n"/>
      <c r="D296" s="7">
        <f>IF(OR(B296="",C296=""),"",B296+C296)</f>
        <v/>
      </c>
      <c r="E296" s="7">
        <f>IF(D296="","",MAX($D$2:D296))</f>
        <v/>
      </c>
      <c r="F296" s="7">
        <f>IF(OR(E296="",D296=""),"",E296-D296)</f>
        <v/>
      </c>
      <c r="G296" s="8">
        <f>IF(OR(E296="",F296="",E296=0),"",F296/E296)</f>
        <v/>
      </c>
      <c r="H296" s="7" t="n"/>
      <c r="I296" s="7">
        <f>IF(OR(H296="",F296=""),"",H296-F296)</f>
        <v/>
      </c>
      <c r="J296">
        <f>IF(I296="","",IF(I296&lt;=0,"BREACH",IF(I296&lt;=500,"WARNING","OK")))</f>
        <v/>
      </c>
    </row>
    <row r="297">
      <c r="B297" s="7" t="n"/>
      <c r="C297" s="7" t="n"/>
      <c r="D297" s="7">
        <f>IF(OR(B297="",C297=""),"",B297+C297)</f>
        <v/>
      </c>
      <c r="E297" s="7">
        <f>IF(D297="","",MAX($D$2:D297))</f>
        <v/>
      </c>
      <c r="F297" s="7">
        <f>IF(OR(E297="",D297=""),"",E297-D297)</f>
        <v/>
      </c>
      <c r="G297" s="8">
        <f>IF(OR(E297="",F297="",E297=0),"",F297/E297)</f>
        <v/>
      </c>
      <c r="H297" s="7" t="n"/>
      <c r="I297" s="7">
        <f>IF(OR(H297="",F297=""),"",H297-F297)</f>
        <v/>
      </c>
      <c r="J297">
        <f>IF(I297="","",IF(I297&lt;=0,"BREACH",IF(I297&lt;=500,"WARNING","OK")))</f>
        <v/>
      </c>
    </row>
    <row r="298">
      <c r="B298" s="7" t="n"/>
      <c r="C298" s="7" t="n"/>
      <c r="D298" s="7">
        <f>IF(OR(B298="",C298=""),"",B298+C298)</f>
        <v/>
      </c>
      <c r="E298" s="7">
        <f>IF(D298="","",MAX($D$2:D298))</f>
        <v/>
      </c>
      <c r="F298" s="7">
        <f>IF(OR(E298="",D298=""),"",E298-D298)</f>
        <v/>
      </c>
      <c r="G298" s="8">
        <f>IF(OR(E298="",F298="",E298=0),"",F298/E298)</f>
        <v/>
      </c>
      <c r="H298" s="7" t="n"/>
      <c r="I298" s="7">
        <f>IF(OR(H298="",F298=""),"",H298-F298)</f>
        <v/>
      </c>
      <c r="J298">
        <f>IF(I298="","",IF(I298&lt;=0,"BREACH",IF(I298&lt;=500,"WARNING","OK")))</f>
        <v/>
      </c>
    </row>
    <row r="299">
      <c r="B299" s="7" t="n"/>
      <c r="C299" s="7" t="n"/>
      <c r="D299" s="7">
        <f>IF(OR(B299="",C299=""),"",B299+C299)</f>
        <v/>
      </c>
      <c r="E299" s="7">
        <f>IF(D299="","",MAX($D$2:D299))</f>
        <v/>
      </c>
      <c r="F299" s="7">
        <f>IF(OR(E299="",D299=""),"",E299-D299)</f>
        <v/>
      </c>
      <c r="G299" s="8">
        <f>IF(OR(E299="",F299="",E299=0),"",F299/E299)</f>
        <v/>
      </c>
      <c r="H299" s="7" t="n"/>
      <c r="I299" s="7">
        <f>IF(OR(H299="",F299=""),"",H299-F299)</f>
        <v/>
      </c>
      <c r="J299">
        <f>IF(I299="","",IF(I299&lt;=0,"BREACH",IF(I299&lt;=500,"WARNING","OK")))</f>
        <v/>
      </c>
    </row>
    <row r="300">
      <c r="B300" s="7" t="n"/>
      <c r="C300" s="7" t="n"/>
      <c r="D300" s="7">
        <f>IF(OR(B300="",C300=""),"",B300+C300)</f>
        <v/>
      </c>
      <c r="E300" s="7">
        <f>IF(D300="","",MAX($D$2:D300))</f>
        <v/>
      </c>
      <c r="F300" s="7">
        <f>IF(OR(E300="",D300=""),"",E300-D300)</f>
        <v/>
      </c>
      <c r="G300" s="8">
        <f>IF(OR(E300="",F300="",E300=0),"",F300/E300)</f>
        <v/>
      </c>
      <c r="H300" s="7" t="n"/>
      <c r="I300" s="7">
        <f>IF(OR(H300="",F300=""),"",H300-F300)</f>
        <v/>
      </c>
      <c r="J300">
        <f>IF(I300="","",IF(I300&lt;=0,"BREACH",IF(I300&lt;=500,"WARNING","OK")))</f>
        <v/>
      </c>
    </row>
    <row r="301">
      <c r="B301" s="7" t="n"/>
      <c r="C301" s="7" t="n"/>
      <c r="D301" s="7">
        <f>IF(OR(B301="",C301=""),"",B301+C301)</f>
        <v/>
      </c>
      <c r="E301" s="7">
        <f>IF(D301="","",MAX($D$2:D301))</f>
        <v/>
      </c>
      <c r="F301" s="7">
        <f>IF(OR(E301="",D301=""),"",E301-D301)</f>
        <v/>
      </c>
      <c r="G301" s="8">
        <f>IF(OR(E301="",F301="",E301=0),"",F301/E301)</f>
        <v/>
      </c>
      <c r="H301" s="7" t="n"/>
      <c r="I301" s="7">
        <f>IF(OR(H301="",F301=""),"",H301-F301)</f>
        <v/>
      </c>
      <c r="J301">
        <f>IF(I301="","",IF(I301&lt;=0,"BREACH",IF(I301&lt;=500,"WARNING","OK")))</f>
        <v/>
      </c>
    </row>
    <row r="302">
      <c r="B302" s="7" t="n"/>
      <c r="C302" s="7" t="n"/>
      <c r="D302" s="7">
        <f>IF(OR(B302="",C302=""),"",B302+C302)</f>
        <v/>
      </c>
      <c r="E302" s="7">
        <f>IF(D302="","",MAX($D$2:D302))</f>
        <v/>
      </c>
      <c r="F302" s="7">
        <f>IF(OR(E302="",D302=""),"",E302-D302)</f>
        <v/>
      </c>
      <c r="G302" s="8">
        <f>IF(OR(E302="",F302="",E302=0),"",F302/E302)</f>
        <v/>
      </c>
      <c r="H302" s="7" t="n"/>
      <c r="I302" s="7">
        <f>IF(OR(H302="",F302=""),"",H302-F302)</f>
        <v/>
      </c>
      <c r="J302">
        <f>IF(I302="","",IF(I302&lt;=0,"BREACH",IF(I302&lt;=500,"WARNING","OK")))</f>
        <v/>
      </c>
    </row>
    <row r="303">
      <c r="B303" s="7" t="n"/>
      <c r="C303" s="7" t="n"/>
      <c r="D303" s="7">
        <f>IF(OR(B303="",C303=""),"",B303+C303)</f>
        <v/>
      </c>
      <c r="E303" s="7">
        <f>IF(D303="","",MAX($D$2:D303))</f>
        <v/>
      </c>
      <c r="F303" s="7">
        <f>IF(OR(E303="",D303=""),"",E303-D303)</f>
        <v/>
      </c>
      <c r="G303" s="8">
        <f>IF(OR(E303="",F303="",E303=0),"",F303/E303)</f>
        <v/>
      </c>
      <c r="H303" s="7" t="n"/>
      <c r="I303" s="7">
        <f>IF(OR(H303="",F303=""),"",H303-F303)</f>
        <v/>
      </c>
      <c r="J303">
        <f>IF(I303="","",IF(I303&lt;=0,"BREACH",IF(I303&lt;=500,"WARNING","OK")))</f>
        <v/>
      </c>
    </row>
    <row r="304">
      <c r="B304" s="7" t="n"/>
      <c r="C304" s="7" t="n"/>
      <c r="D304" s="7">
        <f>IF(OR(B304="",C304=""),"",B304+C304)</f>
        <v/>
      </c>
      <c r="E304" s="7">
        <f>IF(D304="","",MAX($D$2:D304))</f>
        <v/>
      </c>
      <c r="F304" s="7">
        <f>IF(OR(E304="",D304=""),"",E304-D304)</f>
        <v/>
      </c>
      <c r="G304" s="8">
        <f>IF(OR(E304="",F304="",E304=0),"",F304/E304)</f>
        <v/>
      </c>
      <c r="H304" s="7" t="n"/>
      <c r="I304" s="7">
        <f>IF(OR(H304="",F304=""),"",H304-F304)</f>
        <v/>
      </c>
      <c r="J304">
        <f>IF(I304="","",IF(I304&lt;=0,"BREACH",IF(I304&lt;=500,"WARNING","OK")))</f>
        <v/>
      </c>
    </row>
    <row r="305">
      <c r="B305" s="7" t="n"/>
      <c r="C305" s="7" t="n"/>
      <c r="D305" s="7">
        <f>IF(OR(B305="",C305=""),"",B305+C305)</f>
        <v/>
      </c>
      <c r="E305" s="7">
        <f>IF(D305="","",MAX($D$2:D305))</f>
        <v/>
      </c>
      <c r="F305" s="7">
        <f>IF(OR(E305="",D305=""),"",E305-D305)</f>
        <v/>
      </c>
      <c r="G305" s="8">
        <f>IF(OR(E305="",F305="",E305=0),"",F305/E305)</f>
        <v/>
      </c>
      <c r="H305" s="7" t="n"/>
      <c r="I305" s="7">
        <f>IF(OR(H305="",F305=""),"",H305-F305)</f>
        <v/>
      </c>
      <c r="J305">
        <f>IF(I305="","",IF(I305&lt;=0,"BREACH",IF(I305&lt;=500,"WARNING","OK")))</f>
        <v/>
      </c>
    </row>
    <row r="306">
      <c r="B306" s="7" t="n"/>
      <c r="C306" s="7" t="n"/>
      <c r="D306" s="7">
        <f>IF(OR(B306="",C306=""),"",B306+C306)</f>
        <v/>
      </c>
      <c r="E306" s="7">
        <f>IF(D306="","",MAX($D$2:D306))</f>
        <v/>
      </c>
      <c r="F306" s="7">
        <f>IF(OR(E306="",D306=""),"",E306-D306)</f>
        <v/>
      </c>
      <c r="G306" s="8">
        <f>IF(OR(E306="",F306="",E306=0),"",F306/E306)</f>
        <v/>
      </c>
      <c r="H306" s="7" t="n"/>
      <c r="I306" s="7">
        <f>IF(OR(H306="",F306=""),"",H306-F306)</f>
        <v/>
      </c>
      <c r="J306">
        <f>IF(I306="","",IF(I306&lt;=0,"BREACH",IF(I306&lt;=500,"WARNING","OK")))</f>
        <v/>
      </c>
    </row>
    <row r="307">
      <c r="B307" s="7" t="n"/>
      <c r="C307" s="7" t="n"/>
      <c r="D307" s="7">
        <f>IF(OR(B307="",C307=""),"",B307+C307)</f>
        <v/>
      </c>
      <c r="E307" s="7">
        <f>IF(D307="","",MAX($D$2:D307))</f>
        <v/>
      </c>
      <c r="F307" s="7">
        <f>IF(OR(E307="",D307=""),"",E307-D307)</f>
        <v/>
      </c>
      <c r="G307" s="8">
        <f>IF(OR(E307="",F307="",E307=0),"",F307/E307)</f>
        <v/>
      </c>
      <c r="H307" s="7" t="n"/>
      <c r="I307" s="7">
        <f>IF(OR(H307="",F307=""),"",H307-F307)</f>
        <v/>
      </c>
      <c r="J307">
        <f>IF(I307="","",IF(I307&lt;=0,"BREACH",IF(I307&lt;=500,"WARNING","OK")))</f>
        <v/>
      </c>
    </row>
    <row r="308">
      <c r="B308" s="7" t="n"/>
      <c r="C308" s="7" t="n"/>
      <c r="D308" s="7">
        <f>IF(OR(B308="",C308=""),"",B308+C308)</f>
        <v/>
      </c>
      <c r="E308" s="7">
        <f>IF(D308="","",MAX($D$2:D308))</f>
        <v/>
      </c>
      <c r="F308" s="7">
        <f>IF(OR(E308="",D308=""),"",E308-D308)</f>
        <v/>
      </c>
      <c r="G308" s="8">
        <f>IF(OR(E308="",F308="",E308=0),"",F308/E308)</f>
        <v/>
      </c>
      <c r="H308" s="7" t="n"/>
      <c r="I308" s="7">
        <f>IF(OR(H308="",F308=""),"",H308-F308)</f>
        <v/>
      </c>
      <c r="J308">
        <f>IF(I308="","",IF(I308&lt;=0,"BREACH",IF(I308&lt;=500,"WARNING","OK")))</f>
        <v/>
      </c>
    </row>
    <row r="309">
      <c r="B309" s="7" t="n"/>
      <c r="C309" s="7" t="n"/>
      <c r="D309" s="7">
        <f>IF(OR(B309="",C309=""),"",B309+C309)</f>
        <v/>
      </c>
      <c r="E309" s="7">
        <f>IF(D309="","",MAX($D$2:D309))</f>
        <v/>
      </c>
      <c r="F309" s="7">
        <f>IF(OR(E309="",D309=""),"",E309-D309)</f>
        <v/>
      </c>
      <c r="G309" s="8">
        <f>IF(OR(E309="",F309="",E309=0),"",F309/E309)</f>
        <v/>
      </c>
      <c r="H309" s="7" t="n"/>
      <c r="I309" s="7">
        <f>IF(OR(H309="",F309=""),"",H309-F309)</f>
        <v/>
      </c>
      <c r="J309">
        <f>IF(I309="","",IF(I309&lt;=0,"BREACH",IF(I309&lt;=500,"WARNING","OK")))</f>
        <v/>
      </c>
    </row>
    <row r="310">
      <c r="B310" s="7" t="n"/>
      <c r="C310" s="7" t="n"/>
      <c r="D310" s="7">
        <f>IF(OR(B310="",C310=""),"",B310+C310)</f>
        <v/>
      </c>
      <c r="E310" s="7">
        <f>IF(D310="","",MAX($D$2:D310))</f>
        <v/>
      </c>
      <c r="F310" s="7">
        <f>IF(OR(E310="",D310=""),"",E310-D310)</f>
        <v/>
      </c>
      <c r="G310" s="8">
        <f>IF(OR(E310="",F310="",E310=0),"",F310/E310)</f>
        <v/>
      </c>
      <c r="H310" s="7" t="n"/>
      <c r="I310" s="7">
        <f>IF(OR(H310="",F310=""),"",H310-F310)</f>
        <v/>
      </c>
      <c r="J310">
        <f>IF(I310="","",IF(I310&lt;=0,"BREACH",IF(I310&lt;=500,"WARNING","OK")))</f>
        <v/>
      </c>
    </row>
    <row r="311">
      <c r="B311" s="7" t="n"/>
      <c r="C311" s="7" t="n"/>
      <c r="D311" s="7">
        <f>IF(OR(B311="",C311=""),"",B311+C311)</f>
        <v/>
      </c>
      <c r="E311" s="7">
        <f>IF(D311="","",MAX($D$2:D311))</f>
        <v/>
      </c>
      <c r="F311" s="7">
        <f>IF(OR(E311="",D311=""),"",E311-D311)</f>
        <v/>
      </c>
      <c r="G311" s="8">
        <f>IF(OR(E311="",F311="",E311=0),"",F311/E311)</f>
        <v/>
      </c>
      <c r="H311" s="7" t="n"/>
      <c r="I311" s="7">
        <f>IF(OR(H311="",F311=""),"",H311-F311)</f>
        <v/>
      </c>
      <c r="J311">
        <f>IF(I311="","",IF(I311&lt;=0,"BREACH",IF(I311&lt;=500,"WARNING","OK")))</f>
        <v/>
      </c>
    </row>
    <row r="312">
      <c r="B312" s="7" t="n"/>
      <c r="C312" s="7" t="n"/>
      <c r="D312" s="7">
        <f>IF(OR(B312="",C312=""),"",B312+C312)</f>
        <v/>
      </c>
      <c r="E312" s="7">
        <f>IF(D312="","",MAX($D$2:D312))</f>
        <v/>
      </c>
      <c r="F312" s="7">
        <f>IF(OR(E312="",D312=""),"",E312-D312)</f>
        <v/>
      </c>
      <c r="G312" s="8">
        <f>IF(OR(E312="",F312="",E312=0),"",F312/E312)</f>
        <v/>
      </c>
      <c r="H312" s="7" t="n"/>
      <c r="I312" s="7">
        <f>IF(OR(H312="",F312=""),"",H312-F312)</f>
        <v/>
      </c>
      <c r="J312">
        <f>IF(I312="","",IF(I312&lt;=0,"BREACH",IF(I312&lt;=500,"WARNING","OK")))</f>
        <v/>
      </c>
    </row>
    <row r="313">
      <c r="B313" s="7" t="n"/>
      <c r="C313" s="7" t="n"/>
      <c r="D313" s="7">
        <f>IF(OR(B313="",C313=""),"",B313+C313)</f>
        <v/>
      </c>
      <c r="E313" s="7">
        <f>IF(D313="","",MAX($D$2:D313))</f>
        <v/>
      </c>
      <c r="F313" s="7">
        <f>IF(OR(E313="",D313=""),"",E313-D313)</f>
        <v/>
      </c>
      <c r="G313" s="8">
        <f>IF(OR(E313="",F313="",E313=0),"",F313/E313)</f>
        <v/>
      </c>
      <c r="H313" s="7" t="n"/>
      <c r="I313" s="7">
        <f>IF(OR(H313="",F313=""),"",H313-F313)</f>
        <v/>
      </c>
      <c r="J313">
        <f>IF(I313="","",IF(I313&lt;=0,"BREACH",IF(I313&lt;=500,"WARNING","OK")))</f>
        <v/>
      </c>
    </row>
    <row r="314">
      <c r="B314" s="7" t="n"/>
      <c r="C314" s="7" t="n"/>
      <c r="D314" s="7">
        <f>IF(OR(B314="",C314=""),"",B314+C314)</f>
        <v/>
      </c>
      <c r="E314" s="7">
        <f>IF(D314="","",MAX($D$2:D314))</f>
        <v/>
      </c>
      <c r="F314" s="7">
        <f>IF(OR(E314="",D314=""),"",E314-D314)</f>
        <v/>
      </c>
      <c r="G314" s="8">
        <f>IF(OR(E314="",F314="",E314=0),"",F314/E314)</f>
        <v/>
      </c>
      <c r="H314" s="7" t="n"/>
      <c r="I314" s="7">
        <f>IF(OR(H314="",F314=""),"",H314-F314)</f>
        <v/>
      </c>
      <c r="J314">
        <f>IF(I314="","",IF(I314&lt;=0,"BREACH",IF(I314&lt;=500,"WARNING","OK")))</f>
        <v/>
      </c>
    </row>
    <row r="315">
      <c r="B315" s="7" t="n"/>
      <c r="C315" s="7" t="n"/>
      <c r="D315" s="7">
        <f>IF(OR(B315="",C315=""),"",B315+C315)</f>
        <v/>
      </c>
      <c r="E315" s="7">
        <f>IF(D315="","",MAX($D$2:D315))</f>
        <v/>
      </c>
      <c r="F315" s="7">
        <f>IF(OR(E315="",D315=""),"",E315-D315)</f>
        <v/>
      </c>
      <c r="G315" s="8">
        <f>IF(OR(E315="",F315="",E315=0),"",F315/E315)</f>
        <v/>
      </c>
      <c r="H315" s="7" t="n"/>
      <c r="I315" s="7">
        <f>IF(OR(H315="",F315=""),"",H315-F315)</f>
        <v/>
      </c>
      <c r="J315">
        <f>IF(I315="","",IF(I315&lt;=0,"BREACH",IF(I315&lt;=500,"WARNING","OK")))</f>
        <v/>
      </c>
    </row>
    <row r="316">
      <c r="B316" s="7" t="n"/>
      <c r="C316" s="7" t="n"/>
      <c r="D316" s="7">
        <f>IF(OR(B316="",C316=""),"",B316+C316)</f>
        <v/>
      </c>
      <c r="E316" s="7">
        <f>IF(D316="","",MAX($D$2:D316))</f>
        <v/>
      </c>
      <c r="F316" s="7">
        <f>IF(OR(E316="",D316=""),"",E316-D316)</f>
        <v/>
      </c>
      <c r="G316" s="8">
        <f>IF(OR(E316="",F316="",E316=0),"",F316/E316)</f>
        <v/>
      </c>
      <c r="H316" s="7" t="n"/>
      <c r="I316" s="7">
        <f>IF(OR(H316="",F316=""),"",H316-F316)</f>
        <v/>
      </c>
      <c r="J316">
        <f>IF(I316="","",IF(I316&lt;=0,"BREACH",IF(I316&lt;=500,"WARNING","OK")))</f>
        <v/>
      </c>
    </row>
    <row r="317">
      <c r="B317" s="7" t="n"/>
      <c r="C317" s="7" t="n"/>
      <c r="D317" s="7">
        <f>IF(OR(B317="",C317=""),"",B317+C317)</f>
        <v/>
      </c>
      <c r="E317" s="7">
        <f>IF(D317="","",MAX($D$2:D317))</f>
        <v/>
      </c>
      <c r="F317" s="7">
        <f>IF(OR(E317="",D317=""),"",E317-D317)</f>
        <v/>
      </c>
      <c r="G317" s="8">
        <f>IF(OR(E317="",F317="",E317=0),"",F317/E317)</f>
        <v/>
      </c>
      <c r="H317" s="7" t="n"/>
      <c r="I317" s="7">
        <f>IF(OR(H317="",F317=""),"",H317-F317)</f>
        <v/>
      </c>
      <c r="J317">
        <f>IF(I317="","",IF(I317&lt;=0,"BREACH",IF(I317&lt;=500,"WARNING","OK")))</f>
        <v/>
      </c>
    </row>
    <row r="318">
      <c r="B318" s="7" t="n"/>
      <c r="C318" s="7" t="n"/>
      <c r="D318" s="7">
        <f>IF(OR(B318="",C318=""),"",B318+C318)</f>
        <v/>
      </c>
      <c r="E318" s="7">
        <f>IF(D318="","",MAX($D$2:D318))</f>
        <v/>
      </c>
      <c r="F318" s="7">
        <f>IF(OR(E318="",D318=""),"",E318-D318)</f>
        <v/>
      </c>
      <c r="G318" s="8">
        <f>IF(OR(E318="",F318="",E318=0),"",F318/E318)</f>
        <v/>
      </c>
      <c r="H318" s="7" t="n"/>
      <c r="I318" s="7">
        <f>IF(OR(H318="",F318=""),"",H318-F318)</f>
        <v/>
      </c>
      <c r="J318">
        <f>IF(I318="","",IF(I318&lt;=0,"BREACH",IF(I318&lt;=500,"WARNING","OK")))</f>
        <v/>
      </c>
    </row>
    <row r="319">
      <c r="B319" s="7" t="n"/>
      <c r="C319" s="7" t="n"/>
      <c r="D319" s="7">
        <f>IF(OR(B319="",C319=""),"",B319+C319)</f>
        <v/>
      </c>
      <c r="E319" s="7">
        <f>IF(D319="","",MAX($D$2:D319))</f>
        <v/>
      </c>
      <c r="F319" s="7">
        <f>IF(OR(E319="",D319=""),"",E319-D319)</f>
        <v/>
      </c>
      <c r="G319" s="8">
        <f>IF(OR(E319="",F319="",E319=0),"",F319/E319)</f>
        <v/>
      </c>
      <c r="H319" s="7" t="n"/>
      <c r="I319" s="7">
        <f>IF(OR(H319="",F319=""),"",H319-F319)</f>
        <v/>
      </c>
      <c r="J319">
        <f>IF(I319="","",IF(I319&lt;=0,"BREACH",IF(I319&lt;=500,"WARNING","OK")))</f>
        <v/>
      </c>
    </row>
    <row r="320">
      <c r="B320" s="7" t="n"/>
      <c r="C320" s="7" t="n"/>
      <c r="D320" s="7">
        <f>IF(OR(B320="",C320=""),"",B320+C320)</f>
        <v/>
      </c>
      <c r="E320" s="7">
        <f>IF(D320="","",MAX($D$2:D320))</f>
        <v/>
      </c>
      <c r="F320" s="7">
        <f>IF(OR(E320="",D320=""),"",E320-D320)</f>
        <v/>
      </c>
      <c r="G320" s="8">
        <f>IF(OR(E320="",F320="",E320=0),"",F320/E320)</f>
        <v/>
      </c>
      <c r="H320" s="7" t="n"/>
      <c r="I320" s="7">
        <f>IF(OR(H320="",F320=""),"",H320-F320)</f>
        <v/>
      </c>
      <c r="J320">
        <f>IF(I320="","",IF(I320&lt;=0,"BREACH",IF(I320&lt;=500,"WARNING","OK")))</f>
        <v/>
      </c>
    </row>
    <row r="321">
      <c r="B321" s="7" t="n"/>
      <c r="C321" s="7" t="n"/>
      <c r="D321" s="7">
        <f>IF(OR(B321="",C321=""),"",B321+C321)</f>
        <v/>
      </c>
      <c r="E321" s="7">
        <f>IF(D321="","",MAX($D$2:D321))</f>
        <v/>
      </c>
      <c r="F321" s="7">
        <f>IF(OR(E321="",D321=""),"",E321-D321)</f>
        <v/>
      </c>
      <c r="G321" s="8">
        <f>IF(OR(E321="",F321="",E321=0),"",F321/E321)</f>
        <v/>
      </c>
      <c r="H321" s="7" t="n"/>
      <c r="I321" s="7">
        <f>IF(OR(H321="",F321=""),"",H321-F321)</f>
        <v/>
      </c>
      <c r="J321">
        <f>IF(I321="","",IF(I321&lt;=0,"BREACH",IF(I321&lt;=500,"WARNING","OK")))</f>
        <v/>
      </c>
    </row>
    <row r="322">
      <c r="B322" s="7" t="n"/>
      <c r="C322" s="7" t="n"/>
      <c r="D322" s="7">
        <f>IF(OR(B322="",C322=""),"",B322+C322)</f>
        <v/>
      </c>
      <c r="E322" s="7">
        <f>IF(D322="","",MAX($D$2:D322))</f>
        <v/>
      </c>
      <c r="F322" s="7">
        <f>IF(OR(E322="",D322=""),"",E322-D322)</f>
        <v/>
      </c>
      <c r="G322" s="8">
        <f>IF(OR(E322="",F322="",E322=0),"",F322/E322)</f>
        <v/>
      </c>
      <c r="H322" s="7" t="n"/>
      <c r="I322" s="7">
        <f>IF(OR(H322="",F322=""),"",H322-F322)</f>
        <v/>
      </c>
      <c r="J322">
        <f>IF(I322="","",IF(I322&lt;=0,"BREACH",IF(I322&lt;=500,"WARNING","OK")))</f>
        <v/>
      </c>
    </row>
    <row r="323">
      <c r="B323" s="7" t="n"/>
      <c r="C323" s="7" t="n"/>
      <c r="D323" s="7">
        <f>IF(OR(B323="",C323=""),"",B323+C323)</f>
        <v/>
      </c>
      <c r="E323" s="7">
        <f>IF(D323="","",MAX($D$2:D323))</f>
        <v/>
      </c>
      <c r="F323" s="7">
        <f>IF(OR(E323="",D323=""),"",E323-D323)</f>
        <v/>
      </c>
      <c r="G323" s="8">
        <f>IF(OR(E323="",F323="",E323=0),"",F323/E323)</f>
        <v/>
      </c>
      <c r="H323" s="7" t="n"/>
      <c r="I323" s="7">
        <f>IF(OR(H323="",F323=""),"",H323-F323)</f>
        <v/>
      </c>
      <c r="J323">
        <f>IF(I323="","",IF(I323&lt;=0,"BREACH",IF(I323&lt;=500,"WARNING","OK")))</f>
        <v/>
      </c>
    </row>
    <row r="324">
      <c r="B324" s="7" t="n"/>
      <c r="C324" s="7" t="n"/>
      <c r="D324" s="7">
        <f>IF(OR(B324="",C324=""),"",B324+C324)</f>
        <v/>
      </c>
      <c r="E324" s="7">
        <f>IF(D324="","",MAX($D$2:D324))</f>
        <v/>
      </c>
      <c r="F324" s="7">
        <f>IF(OR(E324="",D324=""),"",E324-D324)</f>
        <v/>
      </c>
      <c r="G324" s="8">
        <f>IF(OR(E324="",F324="",E324=0),"",F324/E324)</f>
        <v/>
      </c>
      <c r="H324" s="7" t="n"/>
      <c r="I324" s="7">
        <f>IF(OR(H324="",F324=""),"",H324-F324)</f>
        <v/>
      </c>
      <c r="J324">
        <f>IF(I324="","",IF(I324&lt;=0,"BREACH",IF(I324&lt;=500,"WARNING","OK")))</f>
        <v/>
      </c>
    </row>
    <row r="325">
      <c r="B325" s="7" t="n"/>
      <c r="C325" s="7" t="n"/>
      <c r="D325" s="7">
        <f>IF(OR(B325="",C325=""),"",B325+C325)</f>
        <v/>
      </c>
      <c r="E325" s="7">
        <f>IF(D325="","",MAX($D$2:D325))</f>
        <v/>
      </c>
      <c r="F325" s="7">
        <f>IF(OR(E325="",D325=""),"",E325-D325)</f>
        <v/>
      </c>
      <c r="G325" s="8">
        <f>IF(OR(E325="",F325="",E325=0),"",F325/E325)</f>
        <v/>
      </c>
      <c r="H325" s="7" t="n"/>
      <c r="I325" s="7">
        <f>IF(OR(H325="",F325=""),"",H325-F325)</f>
        <v/>
      </c>
      <c r="J325">
        <f>IF(I325="","",IF(I325&lt;=0,"BREACH",IF(I325&lt;=500,"WARNING","OK")))</f>
        <v/>
      </c>
    </row>
    <row r="326">
      <c r="B326" s="7" t="n"/>
      <c r="C326" s="7" t="n"/>
      <c r="D326" s="7">
        <f>IF(OR(B326="",C326=""),"",B326+C326)</f>
        <v/>
      </c>
      <c r="E326" s="7">
        <f>IF(D326="","",MAX($D$2:D326))</f>
        <v/>
      </c>
      <c r="F326" s="7">
        <f>IF(OR(E326="",D326=""),"",E326-D326)</f>
        <v/>
      </c>
      <c r="G326" s="8">
        <f>IF(OR(E326="",F326="",E326=0),"",F326/E326)</f>
        <v/>
      </c>
      <c r="H326" s="7" t="n"/>
      <c r="I326" s="7">
        <f>IF(OR(H326="",F326=""),"",H326-F326)</f>
        <v/>
      </c>
      <c r="J326">
        <f>IF(I326="","",IF(I326&lt;=0,"BREACH",IF(I326&lt;=500,"WARNING","OK")))</f>
        <v/>
      </c>
    </row>
    <row r="327">
      <c r="B327" s="7" t="n"/>
      <c r="C327" s="7" t="n"/>
      <c r="D327" s="7">
        <f>IF(OR(B327="",C327=""),"",B327+C327)</f>
        <v/>
      </c>
      <c r="E327" s="7">
        <f>IF(D327="","",MAX($D$2:D327))</f>
        <v/>
      </c>
      <c r="F327" s="7">
        <f>IF(OR(E327="",D327=""),"",E327-D327)</f>
        <v/>
      </c>
      <c r="G327" s="8">
        <f>IF(OR(E327="",F327="",E327=0),"",F327/E327)</f>
        <v/>
      </c>
      <c r="H327" s="7" t="n"/>
      <c r="I327" s="7">
        <f>IF(OR(H327="",F327=""),"",H327-F327)</f>
        <v/>
      </c>
      <c r="J327">
        <f>IF(I327="","",IF(I327&lt;=0,"BREACH",IF(I327&lt;=500,"WARNING","OK")))</f>
        <v/>
      </c>
    </row>
    <row r="328">
      <c r="B328" s="7" t="n"/>
      <c r="C328" s="7" t="n"/>
      <c r="D328" s="7">
        <f>IF(OR(B328="",C328=""),"",B328+C328)</f>
        <v/>
      </c>
      <c r="E328" s="7">
        <f>IF(D328="","",MAX($D$2:D328))</f>
        <v/>
      </c>
      <c r="F328" s="7">
        <f>IF(OR(E328="",D328=""),"",E328-D328)</f>
        <v/>
      </c>
      <c r="G328" s="8">
        <f>IF(OR(E328="",F328="",E328=0),"",F328/E328)</f>
        <v/>
      </c>
      <c r="H328" s="7" t="n"/>
      <c r="I328" s="7">
        <f>IF(OR(H328="",F328=""),"",H328-F328)</f>
        <v/>
      </c>
      <c r="J328">
        <f>IF(I328="","",IF(I328&lt;=0,"BREACH",IF(I328&lt;=500,"WARNING","OK")))</f>
        <v/>
      </c>
    </row>
    <row r="329">
      <c r="B329" s="7" t="n"/>
      <c r="C329" s="7" t="n"/>
      <c r="D329" s="7">
        <f>IF(OR(B329="",C329=""),"",B329+C329)</f>
        <v/>
      </c>
      <c r="E329" s="7">
        <f>IF(D329="","",MAX($D$2:D329))</f>
        <v/>
      </c>
      <c r="F329" s="7">
        <f>IF(OR(E329="",D329=""),"",E329-D329)</f>
        <v/>
      </c>
      <c r="G329" s="8">
        <f>IF(OR(E329="",F329="",E329=0),"",F329/E329)</f>
        <v/>
      </c>
      <c r="H329" s="7" t="n"/>
      <c r="I329" s="7">
        <f>IF(OR(H329="",F329=""),"",H329-F329)</f>
        <v/>
      </c>
      <c r="J329">
        <f>IF(I329="","",IF(I329&lt;=0,"BREACH",IF(I329&lt;=500,"WARNING","OK")))</f>
        <v/>
      </c>
    </row>
    <row r="330">
      <c r="B330" s="7" t="n"/>
      <c r="C330" s="7" t="n"/>
      <c r="D330" s="7">
        <f>IF(OR(B330="",C330=""),"",B330+C330)</f>
        <v/>
      </c>
      <c r="E330" s="7">
        <f>IF(D330="","",MAX($D$2:D330))</f>
        <v/>
      </c>
      <c r="F330" s="7">
        <f>IF(OR(E330="",D330=""),"",E330-D330)</f>
        <v/>
      </c>
      <c r="G330" s="8">
        <f>IF(OR(E330="",F330="",E330=0),"",F330/E330)</f>
        <v/>
      </c>
      <c r="H330" s="7" t="n"/>
      <c r="I330" s="7">
        <f>IF(OR(H330="",F330=""),"",H330-F330)</f>
        <v/>
      </c>
      <c r="J330">
        <f>IF(I330="","",IF(I330&lt;=0,"BREACH",IF(I330&lt;=500,"WARNING","OK")))</f>
        <v/>
      </c>
    </row>
    <row r="331">
      <c r="B331" s="7" t="n"/>
      <c r="C331" s="7" t="n"/>
      <c r="D331" s="7">
        <f>IF(OR(B331="",C331=""),"",B331+C331)</f>
        <v/>
      </c>
      <c r="E331" s="7">
        <f>IF(D331="","",MAX($D$2:D331))</f>
        <v/>
      </c>
      <c r="F331" s="7">
        <f>IF(OR(E331="",D331=""),"",E331-D331)</f>
        <v/>
      </c>
      <c r="G331" s="8">
        <f>IF(OR(E331="",F331="",E331=0),"",F331/E331)</f>
        <v/>
      </c>
      <c r="H331" s="7" t="n"/>
      <c r="I331" s="7">
        <f>IF(OR(H331="",F331=""),"",H331-F331)</f>
        <v/>
      </c>
      <c r="J331">
        <f>IF(I331="","",IF(I331&lt;=0,"BREACH",IF(I331&lt;=500,"WARNING","OK")))</f>
        <v/>
      </c>
    </row>
    <row r="332">
      <c r="B332" s="7" t="n"/>
      <c r="C332" s="7" t="n"/>
      <c r="D332" s="7">
        <f>IF(OR(B332="",C332=""),"",B332+C332)</f>
        <v/>
      </c>
      <c r="E332" s="7">
        <f>IF(D332="","",MAX($D$2:D332))</f>
        <v/>
      </c>
      <c r="F332" s="7">
        <f>IF(OR(E332="",D332=""),"",E332-D332)</f>
        <v/>
      </c>
      <c r="G332" s="8">
        <f>IF(OR(E332="",F332="",E332=0),"",F332/E332)</f>
        <v/>
      </c>
      <c r="H332" s="7" t="n"/>
      <c r="I332" s="7">
        <f>IF(OR(H332="",F332=""),"",H332-F332)</f>
        <v/>
      </c>
      <c r="J332">
        <f>IF(I332="","",IF(I332&lt;=0,"BREACH",IF(I332&lt;=500,"WARNING","OK")))</f>
        <v/>
      </c>
    </row>
    <row r="333">
      <c r="B333" s="7" t="n"/>
      <c r="C333" s="7" t="n"/>
      <c r="D333" s="7">
        <f>IF(OR(B333="",C333=""),"",B333+C333)</f>
        <v/>
      </c>
      <c r="E333" s="7">
        <f>IF(D333="","",MAX($D$2:D333))</f>
        <v/>
      </c>
      <c r="F333" s="7">
        <f>IF(OR(E333="",D333=""),"",E333-D333)</f>
        <v/>
      </c>
      <c r="G333" s="8">
        <f>IF(OR(E333="",F333="",E333=0),"",F333/E333)</f>
        <v/>
      </c>
      <c r="H333" s="7" t="n"/>
      <c r="I333" s="7">
        <f>IF(OR(H333="",F333=""),"",H333-F333)</f>
        <v/>
      </c>
      <c r="J333">
        <f>IF(I333="","",IF(I333&lt;=0,"BREACH",IF(I333&lt;=500,"WARNING","OK")))</f>
        <v/>
      </c>
    </row>
    <row r="334">
      <c r="B334" s="7" t="n"/>
      <c r="C334" s="7" t="n"/>
      <c r="D334" s="7">
        <f>IF(OR(B334="",C334=""),"",B334+C334)</f>
        <v/>
      </c>
      <c r="E334" s="7">
        <f>IF(D334="","",MAX($D$2:D334))</f>
        <v/>
      </c>
      <c r="F334" s="7">
        <f>IF(OR(E334="",D334=""),"",E334-D334)</f>
        <v/>
      </c>
      <c r="G334" s="8">
        <f>IF(OR(E334="",F334="",E334=0),"",F334/E334)</f>
        <v/>
      </c>
      <c r="H334" s="7" t="n"/>
      <c r="I334" s="7">
        <f>IF(OR(H334="",F334=""),"",H334-F334)</f>
        <v/>
      </c>
      <c r="J334">
        <f>IF(I334="","",IF(I334&lt;=0,"BREACH",IF(I334&lt;=500,"WARNING","OK")))</f>
        <v/>
      </c>
    </row>
    <row r="335">
      <c r="B335" s="7" t="n"/>
      <c r="C335" s="7" t="n"/>
      <c r="D335" s="7">
        <f>IF(OR(B335="",C335=""),"",B335+C335)</f>
        <v/>
      </c>
      <c r="E335" s="7">
        <f>IF(D335="","",MAX($D$2:D335))</f>
        <v/>
      </c>
      <c r="F335" s="7">
        <f>IF(OR(E335="",D335=""),"",E335-D335)</f>
        <v/>
      </c>
      <c r="G335" s="8">
        <f>IF(OR(E335="",F335="",E335=0),"",F335/E335)</f>
        <v/>
      </c>
      <c r="H335" s="7" t="n"/>
      <c r="I335" s="7">
        <f>IF(OR(H335="",F335=""),"",H335-F335)</f>
        <v/>
      </c>
      <c r="J335">
        <f>IF(I335="","",IF(I335&lt;=0,"BREACH",IF(I335&lt;=500,"WARNING","OK")))</f>
        <v/>
      </c>
    </row>
    <row r="336">
      <c r="B336" s="7" t="n"/>
      <c r="C336" s="7" t="n"/>
      <c r="D336" s="7">
        <f>IF(OR(B336="",C336=""),"",B336+C336)</f>
        <v/>
      </c>
      <c r="E336" s="7">
        <f>IF(D336="","",MAX($D$2:D336))</f>
        <v/>
      </c>
      <c r="F336" s="7">
        <f>IF(OR(E336="",D336=""),"",E336-D336)</f>
        <v/>
      </c>
      <c r="G336" s="8">
        <f>IF(OR(E336="",F336="",E336=0),"",F336/E336)</f>
        <v/>
      </c>
      <c r="H336" s="7" t="n"/>
      <c r="I336" s="7">
        <f>IF(OR(H336="",F336=""),"",H336-F336)</f>
        <v/>
      </c>
      <c r="J336">
        <f>IF(I336="","",IF(I336&lt;=0,"BREACH",IF(I336&lt;=500,"WARNING","OK")))</f>
        <v/>
      </c>
    </row>
    <row r="337">
      <c r="B337" s="7" t="n"/>
      <c r="C337" s="7" t="n"/>
      <c r="D337" s="7">
        <f>IF(OR(B337="",C337=""),"",B337+C337)</f>
        <v/>
      </c>
      <c r="E337" s="7">
        <f>IF(D337="","",MAX($D$2:D337))</f>
        <v/>
      </c>
      <c r="F337" s="7">
        <f>IF(OR(E337="",D337=""),"",E337-D337)</f>
        <v/>
      </c>
      <c r="G337" s="8">
        <f>IF(OR(E337="",F337="",E337=0),"",F337/E337)</f>
        <v/>
      </c>
      <c r="H337" s="7" t="n"/>
      <c r="I337" s="7">
        <f>IF(OR(H337="",F337=""),"",H337-F337)</f>
        <v/>
      </c>
      <c r="J337">
        <f>IF(I337="","",IF(I337&lt;=0,"BREACH",IF(I337&lt;=500,"WARNING","OK")))</f>
        <v/>
      </c>
    </row>
    <row r="338">
      <c r="B338" s="7" t="n"/>
      <c r="C338" s="7" t="n"/>
      <c r="D338" s="7">
        <f>IF(OR(B338="",C338=""),"",B338+C338)</f>
        <v/>
      </c>
      <c r="E338" s="7">
        <f>IF(D338="","",MAX($D$2:D338))</f>
        <v/>
      </c>
      <c r="F338" s="7">
        <f>IF(OR(E338="",D338=""),"",E338-D338)</f>
        <v/>
      </c>
      <c r="G338" s="8">
        <f>IF(OR(E338="",F338="",E338=0),"",F338/E338)</f>
        <v/>
      </c>
      <c r="H338" s="7" t="n"/>
      <c r="I338" s="7">
        <f>IF(OR(H338="",F338=""),"",H338-F338)</f>
        <v/>
      </c>
      <c r="J338">
        <f>IF(I338="","",IF(I338&lt;=0,"BREACH",IF(I338&lt;=500,"WARNING","OK")))</f>
        <v/>
      </c>
    </row>
    <row r="339">
      <c r="B339" s="7" t="n"/>
      <c r="C339" s="7" t="n"/>
      <c r="D339" s="7">
        <f>IF(OR(B339="",C339=""),"",B339+C339)</f>
        <v/>
      </c>
      <c r="E339" s="7">
        <f>IF(D339="","",MAX($D$2:D339))</f>
        <v/>
      </c>
      <c r="F339" s="7">
        <f>IF(OR(E339="",D339=""),"",E339-D339)</f>
        <v/>
      </c>
      <c r="G339" s="8">
        <f>IF(OR(E339="",F339="",E339=0),"",F339/E339)</f>
        <v/>
      </c>
      <c r="H339" s="7" t="n"/>
      <c r="I339" s="7">
        <f>IF(OR(H339="",F339=""),"",H339-F339)</f>
        <v/>
      </c>
      <c r="J339">
        <f>IF(I339="","",IF(I339&lt;=0,"BREACH",IF(I339&lt;=500,"WARNING","OK")))</f>
        <v/>
      </c>
    </row>
    <row r="340">
      <c r="B340" s="7" t="n"/>
      <c r="C340" s="7" t="n"/>
      <c r="D340" s="7">
        <f>IF(OR(B340="",C340=""),"",B340+C340)</f>
        <v/>
      </c>
      <c r="E340" s="7">
        <f>IF(D340="","",MAX($D$2:D340))</f>
        <v/>
      </c>
      <c r="F340" s="7">
        <f>IF(OR(E340="",D340=""),"",E340-D340)</f>
        <v/>
      </c>
      <c r="G340" s="8">
        <f>IF(OR(E340="",F340="",E340=0),"",F340/E340)</f>
        <v/>
      </c>
      <c r="H340" s="7" t="n"/>
      <c r="I340" s="7">
        <f>IF(OR(H340="",F340=""),"",H340-F340)</f>
        <v/>
      </c>
      <c r="J340">
        <f>IF(I340="","",IF(I340&lt;=0,"BREACH",IF(I340&lt;=500,"WARNING","OK")))</f>
        <v/>
      </c>
    </row>
    <row r="341">
      <c r="B341" s="7" t="n"/>
      <c r="C341" s="7" t="n"/>
      <c r="D341" s="7">
        <f>IF(OR(B341="",C341=""),"",B341+C341)</f>
        <v/>
      </c>
      <c r="E341" s="7">
        <f>IF(D341="","",MAX($D$2:D341))</f>
        <v/>
      </c>
      <c r="F341" s="7">
        <f>IF(OR(E341="",D341=""),"",E341-D341)</f>
        <v/>
      </c>
      <c r="G341" s="8">
        <f>IF(OR(E341="",F341="",E341=0),"",F341/E341)</f>
        <v/>
      </c>
      <c r="H341" s="7" t="n"/>
      <c r="I341" s="7">
        <f>IF(OR(H341="",F341=""),"",H341-F341)</f>
        <v/>
      </c>
      <c r="J341">
        <f>IF(I341="","",IF(I341&lt;=0,"BREACH",IF(I341&lt;=500,"WARNING","OK")))</f>
        <v/>
      </c>
    </row>
    <row r="342">
      <c r="B342" s="7" t="n"/>
      <c r="C342" s="7" t="n"/>
      <c r="D342" s="7">
        <f>IF(OR(B342="",C342=""),"",B342+C342)</f>
        <v/>
      </c>
      <c r="E342" s="7">
        <f>IF(D342="","",MAX($D$2:D342))</f>
        <v/>
      </c>
      <c r="F342" s="7">
        <f>IF(OR(E342="",D342=""),"",E342-D342)</f>
        <v/>
      </c>
      <c r="G342" s="8">
        <f>IF(OR(E342="",F342="",E342=0),"",F342/E342)</f>
        <v/>
      </c>
      <c r="H342" s="7" t="n"/>
      <c r="I342" s="7">
        <f>IF(OR(H342="",F342=""),"",H342-F342)</f>
        <v/>
      </c>
      <c r="J342">
        <f>IF(I342="","",IF(I342&lt;=0,"BREACH",IF(I342&lt;=500,"WARNING","OK")))</f>
        <v/>
      </c>
    </row>
    <row r="343">
      <c r="B343" s="7" t="n"/>
      <c r="C343" s="7" t="n"/>
      <c r="D343" s="7">
        <f>IF(OR(B343="",C343=""),"",B343+C343)</f>
        <v/>
      </c>
      <c r="E343" s="7">
        <f>IF(D343="","",MAX($D$2:D343))</f>
        <v/>
      </c>
      <c r="F343" s="7">
        <f>IF(OR(E343="",D343=""),"",E343-D343)</f>
        <v/>
      </c>
      <c r="G343" s="8">
        <f>IF(OR(E343="",F343="",E343=0),"",F343/E343)</f>
        <v/>
      </c>
      <c r="H343" s="7" t="n"/>
      <c r="I343" s="7">
        <f>IF(OR(H343="",F343=""),"",H343-F343)</f>
        <v/>
      </c>
      <c r="J343">
        <f>IF(I343="","",IF(I343&lt;=0,"BREACH",IF(I343&lt;=500,"WARNING","OK")))</f>
        <v/>
      </c>
    </row>
    <row r="344">
      <c r="B344" s="7" t="n"/>
      <c r="C344" s="7" t="n"/>
      <c r="D344" s="7">
        <f>IF(OR(B344="",C344=""),"",B344+C344)</f>
        <v/>
      </c>
      <c r="E344" s="7">
        <f>IF(D344="","",MAX($D$2:D344))</f>
        <v/>
      </c>
      <c r="F344" s="7">
        <f>IF(OR(E344="",D344=""),"",E344-D344)</f>
        <v/>
      </c>
      <c r="G344" s="8">
        <f>IF(OR(E344="",F344="",E344=0),"",F344/E344)</f>
        <v/>
      </c>
      <c r="H344" s="7" t="n"/>
      <c r="I344" s="7">
        <f>IF(OR(H344="",F344=""),"",H344-F344)</f>
        <v/>
      </c>
      <c r="J344">
        <f>IF(I344="","",IF(I344&lt;=0,"BREACH",IF(I344&lt;=500,"WARNING","OK")))</f>
        <v/>
      </c>
    </row>
    <row r="345">
      <c r="B345" s="7" t="n"/>
      <c r="C345" s="7" t="n"/>
      <c r="D345" s="7">
        <f>IF(OR(B345="",C345=""),"",B345+C345)</f>
        <v/>
      </c>
      <c r="E345" s="7">
        <f>IF(D345="","",MAX($D$2:D345))</f>
        <v/>
      </c>
      <c r="F345" s="7">
        <f>IF(OR(E345="",D345=""),"",E345-D345)</f>
        <v/>
      </c>
      <c r="G345" s="8">
        <f>IF(OR(E345="",F345="",E345=0),"",F345/E345)</f>
        <v/>
      </c>
      <c r="H345" s="7" t="n"/>
      <c r="I345" s="7">
        <f>IF(OR(H345="",F345=""),"",H345-F345)</f>
        <v/>
      </c>
      <c r="J345">
        <f>IF(I345="","",IF(I345&lt;=0,"BREACH",IF(I345&lt;=500,"WARNING","OK")))</f>
        <v/>
      </c>
    </row>
    <row r="346">
      <c r="B346" s="7" t="n"/>
      <c r="C346" s="7" t="n"/>
      <c r="D346" s="7">
        <f>IF(OR(B346="",C346=""),"",B346+C346)</f>
        <v/>
      </c>
      <c r="E346" s="7">
        <f>IF(D346="","",MAX($D$2:D346))</f>
        <v/>
      </c>
      <c r="F346" s="7">
        <f>IF(OR(E346="",D346=""),"",E346-D346)</f>
        <v/>
      </c>
      <c r="G346" s="8">
        <f>IF(OR(E346="",F346="",E346=0),"",F346/E346)</f>
        <v/>
      </c>
      <c r="H346" s="7" t="n"/>
      <c r="I346" s="7">
        <f>IF(OR(H346="",F346=""),"",H346-F346)</f>
        <v/>
      </c>
      <c r="J346">
        <f>IF(I346="","",IF(I346&lt;=0,"BREACH",IF(I346&lt;=500,"WARNING","OK")))</f>
        <v/>
      </c>
    </row>
    <row r="347">
      <c r="B347" s="7" t="n"/>
      <c r="C347" s="7" t="n"/>
      <c r="D347" s="7">
        <f>IF(OR(B347="",C347=""),"",B347+C347)</f>
        <v/>
      </c>
      <c r="E347" s="7">
        <f>IF(D347="","",MAX($D$2:D347))</f>
        <v/>
      </c>
      <c r="F347" s="7">
        <f>IF(OR(E347="",D347=""),"",E347-D347)</f>
        <v/>
      </c>
      <c r="G347" s="8">
        <f>IF(OR(E347="",F347="",E347=0),"",F347/E347)</f>
        <v/>
      </c>
      <c r="H347" s="7" t="n"/>
      <c r="I347" s="7">
        <f>IF(OR(H347="",F347=""),"",H347-F347)</f>
        <v/>
      </c>
      <c r="J347">
        <f>IF(I347="","",IF(I347&lt;=0,"BREACH",IF(I347&lt;=500,"WARNING","OK")))</f>
        <v/>
      </c>
    </row>
    <row r="348">
      <c r="B348" s="7" t="n"/>
      <c r="C348" s="7" t="n"/>
      <c r="D348" s="7">
        <f>IF(OR(B348="",C348=""),"",B348+C348)</f>
        <v/>
      </c>
      <c r="E348" s="7">
        <f>IF(D348="","",MAX($D$2:D348))</f>
        <v/>
      </c>
      <c r="F348" s="7">
        <f>IF(OR(E348="",D348=""),"",E348-D348)</f>
        <v/>
      </c>
      <c r="G348" s="8">
        <f>IF(OR(E348="",F348="",E348=0),"",F348/E348)</f>
        <v/>
      </c>
      <c r="H348" s="7" t="n"/>
      <c r="I348" s="7">
        <f>IF(OR(H348="",F348=""),"",H348-F348)</f>
        <v/>
      </c>
      <c r="J348">
        <f>IF(I348="","",IF(I348&lt;=0,"BREACH",IF(I348&lt;=500,"WARNING","OK")))</f>
        <v/>
      </c>
    </row>
    <row r="349">
      <c r="B349" s="7" t="n"/>
      <c r="C349" s="7" t="n"/>
      <c r="D349" s="7">
        <f>IF(OR(B349="",C349=""),"",B349+C349)</f>
        <v/>
      </c>
      <c r="E349" s="7">
        <f>IF(D349="","",MAX($D$2:D349))</f>
        <v/>
      </c>
      <c r="F349" s="7">
        <f>IF(OR(E349="",D349=""),"",E349-D349)</f>
        <v/>
      </c>
      <c r="G349" s="8">
        <f>IF(OR(E349="",F349="",E349=0),"",F349/E349)</f>
        <v/>
      </c>
      <c r="H349" s="7" t="n"/>
      <c r="I349" s="7">
        <f>IF(OR(H349="",F349=""),"",H349-F349)</f>
        <v/>
      </c>
      <c r="J349">
        <f>IF(I349="","",IF(I349&lt;=0,"BREACH",IF(I349&lt;=500,"WARNING","OK")))</f>
        <v/>
      </c>
    </row>
    <row r="350">
      <c r="B350" s="7" t="n"/>
      <c r="C350" s="7" t="n"/>
      <c r="D350" s="7">
        <f>IF(OR(B350="",C350=""),"",B350+C350)</f>
        <v/>
      </c>
      <c r="E350" s="7">
        <f>IF(D350="","",MAX($D$2:D350))</f>
        <v/>
      </c>
      <c r="F350" s="7">
        <f>IF(OR(E350="",D350=""),"",E350-D350)</f>
        <v/>
      </c>
      <c r="G350" s="8">
        <f>IF(OR(E350="",F350="",E350=0),"",F350/E350)</f>
        <v/>
      </c>
      <c r="H350" s="7" t="n"/>
      <c r="I350" s="7">
        <f>IF(OR(H350="",F350=""),"",H350-F350)</f>
        <v/>
      </c>
      <c r="J350">
        <f>IF(I350="","",IF(I350&lt;=0,"BREACH",IF(I350&lt;=500,"WARNING","OK")))</f>
        <v/>
      </c>
    </row>
    <row r="351">
      <c r="B351" s="7" t="n"/>
      <c r="C351" s="7" t="n"/>
      <c r="D351" s="7">
        <f>IF(OR(B351="",C351=""),"",B351+C351)</f>
        <v/>
      </c>
      <c r="E351" s="7">
        <f>IF(D351="","",MAX($D$2:D351))</f>
        <v/>
      </c>
      <c r="F351" s="7">
        <f>IF(OR(E351="",D351=""),"",E351-D351)</f>
        <v/>
      </c>
      <c r="G351" s="8">
        <f>IF(OR(E351="",F351="",E351=0),"",F351/E351)</f>
        <v/>
      </c>
      <c r="H351" s="7" t="n"/>
      <c r="I351" s="7">
        <f>IF(OR(H351="",F351=""),"",H351-F351)</f>
        <v/>
      </c>
      <c r="J351">
        <f>IF(I351="","",IF(I351&lt;=0,"BREACH",IF(I351&lt;=500,"WARNING","OK")))</f>
        <v/>
      </c>
    </row>
    <row r="352">
      <c r="B352" s="7" t="n"/>
      <c r="C352" s="7" t="n"/>
      <c r="D352" s="7">
        <f>IF(OR(B352="",C352=""),"",B352+C352)</f>
        <v/>
      </c>
      <c r="E352" s="7">
        <f>IF(D352="","",MAX($D$2:D352))</f>
        <v/>
      </c>
      <c r="F352" s="7">
        <f>IF(OR(E352="",D352=""),"",E352-D352)</f>
        <v/>
      </c>
      <c r="G352" s="8">
        <f>IF(OR(E352="",F352="",E352=0),"",F352/E352)</f>
        <v/>
      </c>
      <c r="H352" s="7" t="n"/>
      <c r="I352" s="7">
        <f>IF(OR(H352="",F352=""),"",H352-F352)</f>
        <v/>
      </c>
      <c r="J352">
        <f>IF(I352="","",IF(I352&lt;=0,"BREACH",IF(I352&lt;=500,"WARNING","OK")))</f>
        <v/>
      </c>
    </row>
    <row r="353">
      <c r="B353" s="7" t="n"/>
      <c r="C353" s="7" t="n"/>
      <c r="D353" s="7">
        <f>IF(OR(B353="",C353=""),"",B353+C353)</f>
        <v/>
      </c>
      <c r="E353" s="7">
        <f>IF(D353="","",MAX($D$2:D353))</f>
        <v/>
      </c>
      <c r="F353" s="7">
        <f>IF(OR(E353="",D353=""),"",E353-D353)</f>
        <v/>
      </c>
      <c r="G353" s="8">
        <f>IF(OR(E353="",F353="",E353=0),"",F353/E353)</f>
        <v/>
      </c>
      <c r="H353" s="7" t="n"/>
      <c r="I353" s="7">
        <f>IF(OR(H353="",F353=""),"",H353-F353)</f>
        <v/>
      </c>
      <c r="J353">
        <f>IF(I353="","",IF(I353&lt;=0,"BREACH",IF(I353&lt;=500,"WARNING","OK")))</f>
        <v/>
      </c>
    </row>
    <row r="354">
      <c r="B354" s="7" t="n"/>
      <c r="C354" s="7" t="n"/>
      <c r="D354" s="7">
        <f>IF(OR(B354="",C354=""),"",B354+C354)</f>
        <v/>
      </c>
      <c r="E354" s="7">
        <f>IF(D354="","",MAX($D$2:D354))</f>
        <v/>
      </c>
      <c r="F354" s="7">
        <f>IF(OR(E354="",D354=""),"",E354-D354)</f>
        <v/>
      </c>
      <c r="G354" s="8">
        <f>IF(OR(E354="",F354="",E354=0),"",F354/E354)</f>
        <v/>
      </c>
      <c r="H354" s="7" t="n"/>
      <c r="I354" s="7">
        <f>IF(OR(H354="",F354=""),"",H354-F354)</f>
        <v/>
      </c>
      <c r="J354">
        <f>IF(I354="","",IF(I354&lt;=0,"BREACH",IF(I354&lt;=500,"WARNING","OK")))</f>
        <v/>
      </c>
    </row>
    <row r="355">
      <c r="B355" s="7" t="n"/>
      <c r="C355" s="7" t="n"/>
      <c r="D355" s="7">
        <f>IF(OR(B355="",C355=""),"",B355+C355)</f>
        <v/>
      </c>
      <c r="E355" s="7">
        <f>IF(D355="","",MAX($D$2:D355))</f>
        <v/>
      </c>
      <c r="F355" s="7">
        <f>IF(OR(E355="",D355=""),"",E355-D355)</f>
        <v/>
      </c>
      <c r="G355" s="8">
        <f>IF(OR(E355="",F355="",E355=0),"",F355/E355)</f>
        <v/>
      </c>
      <c r="H355" s="7" t="n"/>
      <c r="I355" s="7">
        <f>IF(OR(H355="",F355=""),"",H355-F355)</f>
        <v/>
      </c>
      <c r="J355">
        <f>IF(I355="","",IF(I355&lt;=0,"BREACH",IF(I355&lt;=500,"WARNING","OK")))</f>
        <v/>
      </c>
    </row>
    <row r="356">
      <c r="B356" s="7" t="n"/>
      <c r="C356" s="7" t="n"/>
      <c r="D356" s="7">
        <f>IF(OR(B356="",C356=""),"",B356+C356)</f>
        <v/>
      </c>
      <c r="E356" s="7">
        <f>IF(D356="","",MAX($D$2:D356))</f>
        <v/>
      </c>
      <c r="F356" s="7">
        <f>IF(OR(E356="",D356=""),"",E356-D356)</f>
        <v/>
      </c>
      <c r="G356" s="8">
        <f>IF(OR(E356="",F356="",E356=0),"",F356/E356)</f>
        <v/>
      </c>
      <c r="H356" s="7" t="n"/>
      <c r="I356" s="7">
        <f>IF(OR(H356="",F356=""),"",H356-F356)</f>
        <v/>
      </c>
      <c r="J356">
        <f>IF(I356="","",IF(I356&lt;=0,"BREACH",IF(I356&lt;=500,"WARNING","OK")))</f>
        <v/>
      </c>
    </row>
    <row r="357">
      <c r="B357" s="7" t="n"/>
      <c r="C357" s="7" t="n"/>
      <c r="D357" s="7">
        <f>IF(OR(B357="",C357=""),"",B357+C357)</f>
        <v/>
      </c>
      <c r="E357" s="7">
        <f>IF(D357="","",MAX($D$2:D357))</f>
        <v/>
      </c>
      <c r="F357" s="7">
        <f>IF(OR(E357="",D357=""),"",E357-D357)</f>
        <v/>
      </c>
      <c r="G357" s="8">
        <f>IF(OR(E357="",F357="",E357=0),"",F357/E357)</f>
        <v/>
      </c>
      <c r="H357" s="7" t="n"/>
      <c r="I357" s="7">
        <f>IF(OR(H357="",F357=""),"",H357-F357)</f>
        <v/>
      </c>
      <c r="J357">
        <f>IF(I357="","",IF(I357&lt;=0,"BREACH",IF(I357&lt;=500,"WARNING","OK")))</f>
        <v/>
      </c>
    </row>
    <row r="358">
      <c r="B358" s="7" t="n"/>
      <c r="C358" s="7" t="n"/>
      <c r="D358" s="7">
        <f>IF(OR(B358="",C358=""),"",B358+C358)</f>
        <v/>
      </c>
      <c r="E358" s="7">
        <f>IF(D358="","",MAX($D$2:D358))</f>
        <v/>
      </c>
      <c r="F358" s="7">
        <f>IF(OR(E358="",D358=""),"",E358-D358)</f>
        <v/>
      </c>
      <c r="G358" s="8">
        <f>IF(OR(E358="",F358="",E358=0),"",F358/E358)</f>
        <v/>
      </c>
      <c r="H358" s="7" t="n"/>
      <c r="I358" s="7">
        <f>IF(OR(H358="",F358=""),"",H358-F358)</f>
        <v/>
      </c>
      <c r="J358">
        <f>IF(I358="","",IF(I358&lt;=0,"BREACH",IF(I358&lt;=500,"WARNING","OK")))</f>
        <v/>
      </c>
    </row>
    <row r="359">
      <c r="B359" s="7" t="n"/>
      <c r="C359" s="7" t="n"/>
      <c r="D359" s="7">
        <f>IF(OR(B359="",C359=""),"",B359+C359)</f>
        <v/>
      </c>
      <c r="E359" s="7">
        <f>IF(D359="","",MAX($D$2:D359))</f>
        <v/>
      </c>
      <c r="F359" s="7">
        <f>IF(OR(E359="",D359=""),"",E359-D359)</f>
        <v/>
      </c>
      <c r="G359" s="8">
        <f>IF(OR(E359="",F359="",E359=0),"",F359/E359)</f>
        <v/>
      </c>
      <c r="H359" s="7" t="n"/>
      <c r="I359" s="7">
        <f>IF(OR(H359="",F359=""),"",H359-F359)</f>
        <v/>
      </c>
      <c r="J359">
        <f>IF(I359="","",IF(I359&lt;=0,"BREACH",IF(I359&lt;=500,"WARNING","OK")))</f>
        <v/>
      </c>
    </row>
    <row r="360">
      <c r="B360" s="7" t="n"/>
      <c r="C360" s="7" t="n"/>
      <c r="D360" s="7">
        <f>IF(OR(B360="",C360=""),"",B360+C360)</f>
        <v/>
      </c>
      <c r="E360" s="7">
        <f>IF(D360="","",MAX($D$2:D360))</f>
        <v/>
      </c>
      <c r="F360" s="7">
        <f>IF(OR(E360="",D360=""),"",E360-D360)</f>
        <v/>
      </c>
      <c r="G360" s="8">
        <f>IF(OR(E360="",F360="",E360=0),"",F360/E360)</f>
        <v/>
      </c>
      <c r="H360" s="7" t="n"/>
      <c r="I360" s="7">
        <f>IF(OR(H360="",F360=""),"",H360-F360)</f>
        <v/>
      </c>
      <c r="J360">
        <f>IF(I360="","",IF(I360&lt;=0,"BREACH",IF(I360&lt;=500,"WARNING","OK")))</f>
        <v/>
      </c>
    </row>
    <row r="361">
      <c r="B361" s="7" t="n"/>
      <c r="C361" s="7" t="n"/>
      <c r="D361" s="7">
        <f>IF(OR(B361="",C361=""),"",B361+C361)</f>
        <v/>
      </c>
      <c r="E361" s="7">
        <f>IF(D361="","",MAX($D$2:D361))</f>
        <v/>
      </c>
      <c r="F361" s="7">
        <f>IF(OR(E361="",D361=""),"",E361-D361)</f>
        <v/>
      </c>
      <c r="G361" s="8">
        <f>IF(OR(E361="",F361="",E361=0),"",F361/E361)</f>
        <v/>
      </c>
      <c r="H361" s="7" t="n"/>
      <c r="I361" s="7">
        <f>IF(OR(H361="",F361=""),"",H361-F361)</f>
        <v/>
      </c>
      <c r="J361">
        <f>IF(I361="","",IF(I361&lt;=0,"BREACH",IF(I361&lt;=500,"WARNING","OK")))</f>
        <v/>
      </c>
    </row>
    <row r="362">
      <c r="B362" s="7" t="n"/>
      <c r="C362" s="7" t="n"/>
      <c r="D362" s="7">
        <f>IF(OR(B362="",C362=""),"",B362+C362)</f>
        <v/>
      </c>
      <c r="E362" s="7">
        <f>IF(D362="","",MAX($D$2:D362))</f>
        <v/>
      </c>
      <c r="F362" s="7">
        <f>IF(OR(E362="",D362=""),"",E362-D362)</f>
        <v/>
      </c>
      <c r="G362" s="8">
        <f>IF(OR(E362="",F362="",E362=0),"",F362/E362)</f>
        <v/>
      </c>
      <c r="H362" s="7" t="n"/>
      <c r="I362" s="7">
        <f>IF(OR(H362="",F362=""),"",H362-F362)</f>
        <v/>
      </c>
      <c r="J362">
        <f>IF(I362="","",IF(I362&lt;=0,"BREACH",IF(I362&lt;=500,"WARNING","OK")))</f>
        <v/>
      </c>
    </row>
    <row r="363">
      <c r="B363" s="7" t="n"/>
      <c r="C363" s="7" t="n"/>
      <c r="D363" s="7">
        <f>IF(OR(B363="",C363=""),"",B363+C363)</f>
        <v/>
      </c>
      <c r="E363" s="7">
        <f>IF(D363="","",MAX($D$2:D363))</f>
        <v/>
      </c>
      <c r="F363" s="7">
        <f>IF(OR(E363="",D363=""),"",E363-D363)</f>
        <v/>
      </c>
      <c r="G363" s="8">
        <f>IF(OR(E363="",F363="",E363=0),"",F363/E363)</f>
        <v/>
      </c>
      <c r="H363" s="7" t="n"/>
      <c r="I363" s="7">
        <f>IF(OR(H363="",F363=""),"",H363-F363)</f>
        <v/>
      </c>
      <c r="J363">
        <f>IF(I363="","",IF(I363&lt;=0,"BREACH",IF(I363&lt;=500,"WARNING","OK")))</f>
        <v/>
      </c>
    </row>
    <row r="364">
      <c r="B364" s="7" t="n"/>
      <c r="C364" s="7" t="n"/>
      <c r="D364" s="7">
        <f>IF(OR(B364="",C364=""),"",B364+C364)</f>
        <v/>
      </c>
      <c r="E364" s="7">
        <f>IF(D364="","",MAX($D$2:D364))</f>
        <v/>
      </c>
      <c r="F364" s="7">
        <f>IF(OR(E364="",D364=""),"",E364-D364)</f>
        <v/>
      </c>
      <c r="G364" s="8">
        <f>IF(OR(E364="",F364="",E364=0),"",F364/E364)</f>
        <v/>
      </c>
      <c r="H364" s="7" t="n"/>
      <c r="I364" s="7">
        <f>IF(OR(H364="",F364=""),"",H364-F364)</f>
        <v/>
      </c>
      <c r="J364">
        <f>IF(I364="","",IF(I364&lt;=0,"BREACH",IF(I364&lt;=500,"WARNING","OK")))</f>
        <v/>
      </c>
    </row>
    <row r="365">
      <c r="B365" s="7" t="n"/>
      <c r="C365" s="7" t="n"/>
      <c r="D365" s="7">
        <f>IF(OR(B365="",C365=""),"",B365+C365)</f>
        <v/>
      </c>
      <c r="E365" s="7">
        <f>IF(D365="","",MAX($D$2:D365))</f>
        <v/>
      </c>
      <c r="F365" s="7">
        <f>IF(OR(E365="",D365=""),"",E365-D365)</f>
        <v/>
      </c>
      <c r="G365" s="8">
        <f>IF(OR(E365="",F365="",E365=0),"",F365/E365)</f>
        <v/>
      </c>
      <c r="H365" s="7" t="n"/>
      <c r="I365" s="7">
        <f>IF(OR(H365="",F365=""),"",H365-F365)</f>
        <v/>
      </c>
      <c r="J365">
        <f>IF(I365="","",IF(I365&lt;=0,"BREACH",IF(I365&lt;=500,"WARNING","OK")))</f>
        <v/>
      </c>
    </row>
    <row r="366">
      <c r="B366" s="7" t="n"/>
      <c r="C366" s="7" t="n"/>
      <c r="D366" s="7">
        <f>IF(OR(B366="",C366=""),"",B366+C366)</f>
        <v/>
      </c>
      <c r="E366" s="7">
        <f>IF(D366="","",MAX($D$2:D366))</f>
        <v/>
      </c>
      <c r="F366" s="7">
        <f>IF(OR(E366="",D366=""),"",E366-D366)</f>
        <v/>
      </c>
      <c r="G366" s="8">
        <f>IF(OR(E366="",F366="",E366=0),"",F366/E366)</f>
        <v/>
      </c>
      <c r="H366" s="7" t="n"/>
      <c r="I366" s="7">
        <f>IF(OR(H366="",F366=""),"",H366-F366)</f>
        <v/>
      </c>
      <c r="J366">
        <f>IF(I366="","",IF(I366&lt;=0,"BREACH",IF(I366&lt;=500,"WARNING","OK")))</f>
        <v/>
      </c>
    </row>
    <row r="367">
      <c r="B367" s="7" t="n"/>
      <c r="C367" s="7" t="n"/>
      <c r="D367" s="7">
        <f>IF(OR(B367="",C367=""),"",B367+C367)</f>
        <v/>
      </c>
      <c r="E367" s="7">
        <f>IF(D367="","",MAX($D$2:D367))</f>
        <v/>
      </c>
      <c r="F367" s="7">
        <f>IF(OR(E367="",D367=""),"",E367-D367)</f>
        <v/>
      </c>
      <c r="G367" s="8">
        <f>IF(OR(E367="",F367="",E367=0),"",F367/E367)</f>
        <v/>
      </c>
      <c r="H367" s="7" t="n"/>
      <c r="I367" s="7">
        <f>IF(OR(H367="",F367=""),"",H367-F367)</f>
        <v/>
      </c>
      <c r="J367">
        <f>IF(I367="","",IF(I367&lt;=0,"BREACH",IF(I367&lt;=500,"WARNING","OK")))</f>
        <v/>
      </c>
    </row>
    <row r="368">
      <c r="B368" s="7" t="n"/>
      <c r="C368" s="7" t="n"/>
      <c r="D368" s="7">
        <f>IF(OR(B368="",C368=""),"",B368+C368)</f>
        <v/>
      </c>
      <c r="E368" s="7">
        <f>IF(D368="","",MAX($D$2:D368))</f>
        <v/>
      </c>
      <c r="F368" s="7">
        <f>IF(OR(E368="",D368=""),"",E368-D368)</f>
        <v/>
      </c>
      <c r="G368" s="8">
        <f>IF(OR(E368="",F368="",E368=0),"",F368/E368)</f>
        <v/>
      </c>
      <c r="H368" s="7" t="n"/>
      <c r="I368" s="7">
        <f>IF(OR(H368="",F368=""),"",H368-F368)</f>
        <v/>
      </c>
      <c r="J368">
        <f>IF(I368="","",IF(I368&lt;=0,"BREACH",IF(I368&lt;=500,"WARNING","OK")))</f>
        <v/>
      </c>
    </row>
    <row r="369">
      <c r="B369" s="7" t="n"/>
      <c r="C369" s="7" t="n"/>
      <c r="D369" s="7">
        <f>IF(OR(B369="",C369=""),"",B369+C369)</f>
        <v/>
      </c>
      <c r="E369" s="7">
        <f>IF(D369="","",MAX($D$2:D369))</f>
        <v/>
      </c>
      <c r="F369" s="7">
        <f>IF(OR(E369="",D369=""),"",E369-D369)</f>
        <v/>
      </c>
      <c r="G369" s="8">
        <f>IF(OR(E369="",F369="",E369=0),"",F369/E369)</f>
        <v/>
      </c>
      <c r="H369" s="7" t="n"/>
      <c r="I369" s="7">
        <f>IF(OR(H369="",F369=""),"",H369-F369)</f>
        <v/>
      </c>
      <c r="J369">
        <f>IF(I369="","",IF(I369&lt;=0,"BREACH",IF(I369&lt;=500,"WARNING","OK")))</f>
        <v/>
      </c>
    </row>
    <row r="370">
      <c r="B370" s="7" t="n"/>
      <c r="C370" s="7" t="n"/>
      <c r="D370" s="7">
        <f>IF(OR(B370="",C370=""),"",B370+C370)</f>
        <v/>
      </c>
      <c r="E370" s="7">
        <f>IF(D370="","",MAX($D$2:D370))</f>
        <v/>
      </c>
      <c r="F370" s="7">
        <f>IF(OR(E370="",D370=""),"",E370-D370)</f>
        <v/>
      </c>
      <c r="G370" s="8">
        <f>IF(OR(E370="",F370="",E370=0),"",F370/E370)</f>
        <v/>
      </c>
      <c r="H370" s="7" t="n"/>
      <c r="I370" s="7">
        <f>IF(OR(H370="",F370=""),"",H370-F370)</f>
        <v/>
      </c>
      <c r="J370">
        <f>IF(I370="","",IF(I370&lt;=0,"BREACH",IF(I370&lt;=500,"WARNING","OK")))</f>
        <v/>
      </c>
    </row>
    <row r="371">
      <c r="B371" s="7" t="n"/>
      <c r="C371" s="7" t="n"/>
      <c r="D371" s="7">
        <f>IF(OR(B371="",C371=""),"",B371+C371)</f>
        <v/>
      </c>
      <c r="E371" s="7">
        <f>IF(D371="","",MAX($D$2:D371))</f>
        <v/>
      </c>
      <c r="F371" s="7">
        <f>IF(OR(E371="",D371=""),"",E371-D371)</f>
        <v/>
      </c>
      <c r="G371" s="8">
        <f>IF(OR(E371="",F371="",E371=0),"",F371/E371)</f>
        <v/>
      </c>
      <c r="H371" s="7" t="n"/>
      <c r="I371" s="7">
        <f>IF(OR(H371="",F371=""),"",H371-F371)</f>
        <v/>
      </c>
      <c r="J371">
        <f>IF(I371="","",IF(I371&lt;=0,"BREACH",IF(I371&lt;=500,"WARNING","OK")))</f>
        <v/>
      </c>
    </row>
    <row r="372">
      <c r="B372" s="7" t="n"/>
      <c r="C372" s="7" t="n"/>
      <c r="D372" s="7">
        <f>IF(OR(B372="",C372=""),"",B372+C372)</f>
        <v/>
      </c>
      <c r="E372" s="7">
        <f>IF(D372="","",MAX($D$2:D372))</f>
        <v/>
      </c>
      <c r="F372" s="7">
        <f>IF(OR(E372="",D372=""),"",E372-D372)</f>
        <v/>
      </c>
      <c r="G372" s="8">
        <f>IF(OR(E372="",F372="",E372=0),"",F372/E372)</f>
        <v/>
      </c>
      <c r="H372" s="7" t="n"/>
      <c r="I372" s="7">
        <f>IF(OR(H372="",F372=""),"",H372-F372)</f>
        <v/>
      </c>
      <c r="J372">
        <f>IF(I372="","",IF(I372&lt;=0,"BREACH",IF(I372&lt;=500,"WARNING","OK")))</f>
        <v/>
      </c>
    </row>
    <row r="373">
      <c r="B373" s="7" t="n"/>
      <c r="C373" s="7" t="n"/>
      <c r="D373" s="7">
        <f>IF(OR(B373="",C373=""),"",B373+C373)</f>
        <v/>
      </c>
      <c r="E373" s="7">
        <f>IF(D373="","",MAX($D$2:D373))</f>
        <v/>
      </c>
      <c r="F373" s="7">
        <f>IF(OR(E373="",D373=""),"",E373-D373)</f>
        <v/>
      </c>
      <c r="G373" s="8">
        <f>IF(OR(E373="",F373="",E373=0),"",F373/E373)</f>
        <v/>
      </c>
      <c r="H373" s="7" t="n"/>
      <c r="I373" s="7">
        <f>IF(OR(H373="",F373=""),"",H373-F373)</f>
        <v/>
      </c>
      <c r="J373">
        <f>IF(I373="","",IF(I373&lt;=0,"BREACH",IF(I373&lt;=500,"WARNING","OK")))</f>
        <v/>
      </c>
    </row>
    <row r="374">
      <c r="B374" s="7" t="n"/>
      <c r="C374" s="7" t="n"/>
      <c r="D374" s="7">
        <f>IF(OR(B374="",C374=""),"",B374+C374)</f>
        <v/>
      </c>
      <c r="E374" s="7">
        <f>IF(D374="","",MAX($D$2:D374))</f>
        <v/>
      </c>
      <c r="F374" s="7">
        <f>IF(OR(E374="",D374=""),"",E374-D374)</f>
        <v/>
      </c>
      <c r="G374" s="8">
        <f>IF(OR(E374="",F374="",E374=0),"",F374/E374)</f>
        <v/>
      </c>
      <c r="H374" s="7" t="n"/>
      <c r="I374" s="7">
        <f>IF(OR(H374="",F374=""),"",H374-F374)</f>
        <v/>
      </c>
      <c r="J374">
        <f>IF(I374="","",IF(I374&lt;=0,"BREACH",IF(I374&lt;=500,"WARNING","OK")))</f>
        <v/>
      </c>
    </row>
    <row r="375">
      <c r="B375" s="7" t="n"/>
      <c r="C375" s="7" t="n"/>
      <c r="D375" s="7">
        <f>IF(OR(B375="",C375=""),"",B375+C375)</f>
        <v/>
      </c>
      <c r="E375" s="7">
        <f>IF(D375="","",MAX($D$2:D375))</f>
        <v/>
      </c>
      <c r="F375" s="7">
        <f>IF(OR(E375="",D375=""),"",E375-D375)</f>
        <v/>
      </c>
      <c r="G375" s="8">
        <f>IF(OR(E375="",F375="",E375=0),"",F375/E375)</f>
        <v/>
      </c>
      <c r="H375" s="7" t="n"/>
      <c r="I375" s="7">
        <f>IF(OR(H375="",F375=""),"",H375-F375)</f>
        <v/>
      </c>
      <c r="J375">
        <f>IF(I375="","",IF(I375&lt;=0,"BREACH",IF(I375&lt;=500,"WARNING","OK")))</f>
        <v/>
      </c>
    </row>
    <row r="376">
      <c r="B376" s="7" t="n"/>
      <c r="C376" s="7" t="n"/>
      <c r="D376" s="7">
        <f>IF(OR(B376="",C376=""),"",B376+C376)</f>
        <v/>
      </c>
      <c r="E376" s="7">
        <f>IF(D376="","",MAX($D$2:D376))</f>
        <v/>
      </c>
      <c r="F376" s="7">
        <f>IF(OR(E376="",D376=""),"",E376-D376)</f>
        <v/>
      </c>
      <c r="G376" s="8">
        <f>IF(OR(E376="",F376="",E376=0),"",F376/E376)</f>
        <v/>
      </c>
      <c r="H376" s="7" t="n"/>
      <c r="I376" s="7">
        <f>IF(OR(H376="",F376=""),"",H376-F376)</f>
        <v/>
      </c>
      <c r="J376">
        <f>IF(I376="","",IF(I376&lt;=0,"BREACH",IF(I376&lt;=500,"WARNING","OK")))</f>
        <v/>
      </c>
    </row>
    <row r="377">
      <c r="B377" s="7" t="n"/>
      <c r="C377" s="7" t="n"/>
      <c r="D377" s="7">
        <f>IF(OR(B377="",C377=""),"",B377+C377)</f>
        <v/>
      </c>
      <c r="E377" s="7">
        <f>IF(D377="","",MAX($D$2:D377))</f>
        <v/>
      </c>
      <c r="F377" s="7">
        <f>IF(OR(E377="",D377=""),"",E377-D377)</f>
        <v/>
      </c>
      <c r="G377" s="8">
        <f>IF(OR(E377="",F377="",E377=0),"",F377/E377)</f>
        <v/>
      </c>
      <c r="H377" s="7" t="n"/>
      <c r="I377" s="7">
        <f>IF(OR(H377="",F377=""),"",H377-F377)</f>
        <v/>
      </c>
      <c r="J377">
        <f>IF(I377="","",IF(I377&lt;=0,"BREACH",IF(I377&lt;=500,"WARNING","OK")))</f>
        <v/>
      </c>
    </row>
    <row r="378">
      <c r="B378" s="7" t="n"/>
      <c r="C378" s="7" t="n"/>
      <c r="D378" s="7">
        <f>IF(OR(B378="",C378=""),"",B378+C378)</f>
        <v/>
      </c>
      <c r="E378" s="7">
        <f>IF(D378="","",MAX($D$2:D378))</f>
        <v/>
      </c>
      <c r="F378" s="7">
        <f>IF(OR(E378="",D378=""),"",E378-D378)</f>
        <v/>
      </c>
      <c r="G378" s="8">
        <f>IF(OR(E378="",F378="",E378=0),"",F378/E378)</f>
        <v/>
      </c>
      <c r="H378" s="7" t="n"/>
      <c r="I378" s="7">
        <f>IF(OR(H378="",F378=""),"",H378-F378)</f>
        <v/>
      </c>
      <c r="J378">
        <f>IF(I378="","",IF(I378&lt;=0,"BREACH",IF(I378&lt;=500,"WARNING","OK")))</f>
        <v/>
      </c>
    </row>
    <row r="379">
      <c r="B379" s="7" t="n"/>
      <c r="C379" s="7" t="n"/>
      <c r="D379" s="7">
        <f>IF(OR(B379="",C379=""),"",B379+C379)</f>
        <v/>
      </c>
      <c r="E379" s="7">
        <f>IF(D379="","",MAX($D$2:D379))</f>
        <v/>
      </c>
      <c r="F379" s="7">
        <f>IF(OR(E379="",D379=""),"",E379-D379)</f>
        <v/>
      </c>
      <c r="G379" s="8">
        <f>IF(OR(E379="",F379="",E379=0),"",F379/E379)</f>
        <v/>
      </c>
      <c r="H379" s="7" t="n"/>
      <c r="I379" s="7">
        <f>IF(OR(H379="",F379=""),"",H379-F379)</f>
        <v/>
      </c>
      <c r="J379">
        <f>IF(I379="","",IF(I379&lt;=0,"BREACH",IF(I379&lt;=500,"WARNING","OK")))</f>
        <v/>
      </c>
    </row>
    <row r="380">
      <c r="B380" s="7" t="n"/>
      <c r="C380" s="7" t="n"/>
      <c r="D380" s="7">
        <f>IF(OR(B380="",C380=""),"",B380+C380)</f>
        <v/>
      </c>
      <c r="E380" s="7">
        <f>IF(D380="","",MAX($D$2:D380))</f>
        <v/>
      </c>
      <c r="F380" s="7">
        <f>IF(OR(E380="",D380=""),"",E380-D380)</f>
        <v/>
      </c>
      <c r="G380" s="8">
        <f>IF(OR(E380="",F380="",E380=0),"",F380/E380)</f>
        <v/>
      </c>
      <c r="H380" s="7" t="n"/>
      <c r="I380" s="7">
        <f>IF(OR(H380="",F380=""),"",H380-F380)</f>
        <v/>
      </c>
      <c r="J380">
        <f>IF(I380="","",IF(I380&lt;=0,"BREACH",IF(I380&lt;=500,"WARNING","OK")))</f>
        <v/>
      </c>
    </row>
    <row r="381">
      <c r="B381" s="7" t="n"/>
      <c r="C381" s="7" t="n"/>
      <c r="D381" s="7">
        <f>IF(OR(B381="",C381=""),"",B381+C381)</f>
        <v/>
      </c>
      <c r="E381" s="7">
        <f>IF(D381="","",MAX($D$2:D381))</f>
        <v/>
      </c>
      <c r="F381" s="7">
        <f>IF(OR(E381="",D381=""),"",E381-D381)</f>
        <v/>
      </c>
      <c r="G381" s="8">
        <f>IF(OR(E381="",F381="",E381=0),"",F381/E381)</f>
        <v/>
      </c>
      <c r="H381" s="7" t="n"/>
      <c r="I381" s="7">
        <f>IF(OR(H381="",F381=""),"",H381-F381)</f>
        <v/>
      </c>
      <c r="J381">
        <f>IF(I381="","",IF(I381&lt;=0,"BREACH",IF(I381&lt;=500,"WARNING","OK")))</f>
        <v/>
      </c>
    </row>
    <row r="382">
      <c r="B382" s="7" t="n"/>
      <c r="C382" s="7" t="n"/>
      <c r="D382" s="7">
        <f>IF(OR(B382="",C382=""),"",B382+C382)</f>
        <v/>
      </c>
      <c r="E382" s="7">
        <f>IF(D382="","",MAX($D$2:D382))</f>
        <v/>
      </c>
      <c r="F382" s="7">
        <f>IF(OR(E382="",D382=""),"",E382-D382)</f>
        <v/>
      </c>
      <c r="G382" s="8">
        <f>IF(OR(E382="",F382="",E382=0),"",F382/E382)</f>
        <v/>
      </c>
      <c r="H382" s="7" t="n"/>
      <c r="I382" s="7">
        <f>IF(OR(H382="",F382=""),"",H382-F382)</f>
        <v/>
      </c>
      <c r="J382">
        <f>IF(I382="","",IF(I382&lt;=0,"BREACH",IF(I382&lt;=500,"WARNING","OK")))</f>
        <v/>
      </c>
    </row>
    <row r="383">
      <c r="B383" s="7" t="n"/>
      <c r="C383" s="7" t="n"/>
      <c r="D383" s="7">
        <f>IF(OR(B383="",C383=""),"",B383+C383)</f>
        <v/>
      </c>
      <c r="E383" s="7">
        <f>IF(D383="","",MAX($D$2:D383))</f>
        <v/>
      </c>
      <c r="F383" s="7">
        <f>IF(OR(E383="",D383=""),"",E383-D383)</f>
        <v/>
      </c>
      <c r="G383" s="8">
        <f>IF(OR(E383="",F383="",E383=0),"",F383/E383)</f>
        <v/>
      </c>
      <c r="H383" s="7" t="n"/>
      <c r="I383" s="7">
        <f>IF(OR(H383="",F383=""),"",H383-F383)</f>
        <v/>
      </c>
      <c r="J383">
        <f>IF(I383="","",IF(I383&lt;=0,"BREACH",IF(I383&lt;=500,"WARNING","OK")))</f>
        <v/>
      </c>
    </row>
    <row r="384">
      <c r="B384" s="7" t="n"/>
      <c r="C384" s="7" t="n"/>
      <c r="D384" s="7">
        <f>IF(OR(B384="",C384=""),"",B384+C384)</f>
        <v/>
      </c>
      <c r="E384" s="7">
        <f>IF(D384="","",MAX($D$2:D384))</f>
        <v/>
      </c>
      <c r="F384" s="7">
        <f>IF(OR(E384="",D384=""),"",E384-D384)</f>
        <v/>
      </c>
      <c r="G384" s="8">
        <f>IF(OR(E384="",F384="",E384=0),"",F384/E384)</f>
        <v/>
      </c>
      <c r="H384" s="7" t="n"/>
      <c r="I384" s="7">
        <f>IF(OR(H384="",F384=""),"",H384-F384)</f>
        <v/>
      </c>
      <c r="J384">
        <f>IF(I384="","",IF(I384&lt;=0,"BREACH",IF(I384&lt;=500,"WARNING","OK")))</f>
        <v/>
      </c>
    </row>
    <row r="385">
      <c r="B385" s="7" t="n"/>
      <c r="C385" s="7" t="n"/>
      <c r="D385" s="7">
        <f>IF(OR(B385="",C385=""),"",B385+C385)</f>
        <v/>
      </c>
      <c r="E385" s="7">
        <f>IF(D385="","",MAX($D$2:D385))</f>
        <v/>
      </c>
      <c r="F385" s="7">
        <f>IF(OR(E385="",D385=""),"",E385-D385)</f>
        <v/>
      </c>
      <c r="G385" s="8">
        <f>IF(OR(E385="",F385="",E385=0),"",F385/E385)</f>
        <v/>
      </c>
      <c r="H385" s="7" t="n"/>
      <c r="I385" s="7">
        <f>IF(OR(H385="",F385=""),"",H385-F385)</f>
        <v/>
      </c>
      <c r="J385">
        <f>IF(I385="","",IF(I385&lt;=0,"BREACH",IF(I385&lt;=500,"WARNING","OK")))</f>
        <v/>
      </c>
    </row>
    <row r="386">
      <c r="B386" s="7" t="n"/>
      <c r="C386" s="7" t="n"/>
      <c r="D386" s="7">
        <f>IF(OR(B386="",C386=""),"",B386+C386)</f>
        <v/>
      </c>
      <c r="E386" s="7">
        <f>IF(D386="","",MAX($D$2:D386))</f>
        <v/>
      </c>
      <c r="F386" s="7">
        <f>IF(OR(E386="",D386=""),"",E386-D386)</f>
        <v/>
      </c>
      <c r="G386" s="8">
        <f>IF(OR(E386="",F386="",E386=0),"",F386/E386)</f>
        <v/>
      </c>
      <c r="H386" s="7" t="n"/>
      <c r="I386" s="7">
        <f>IF(OR(H386="",F386=""),"",H386-F386)</f>
        <v/>
      </c>
      <c r="J386">
        <f>IF(I386="","",IF(I386&lt;=0,"BREACH",IF(I386&lt;=500,"WARNING","OK")))</f>
        <v/>
      </c>
    </row>
    <row r="387">
      <c r="B387" s="7" t="n"/>
      <c r="C387" s="7" t="n"/>
      <c r="D387" s="7">
        <f>IF(OR(B387="",C387=""),"",B387+C387)</f>
        <v/>
      </c>
      <c r="E387" s="7">
        <f>IF(D387="","",MAX($D$2:D387))</f>
        <v/>
      </c>
      <c r="F387" s="7">
        <f>IF(OR(E387="",D387=""),"",E387-D387)</f>
        <v/>
      </c>
      <c r="G387" s="8">
        <f>IF(OR(E387="",F387="",E387=0),"",F387/E387)</f>
        <v/>
      </c>
      <c r="H387" s="7" t="n"/>
      <c r="I387" s="7">
        <f>IF(OR(H387="",F387=""),"",H387-F387)</f>
        <v/>
      </c>
      <c r="J387">
        <f>IF(I387="","",IF(I387&lt;=0,"BREACH",IF(I387&lt;=500,"WARNING","OK")))</f>
        <v/>
      </c>
    </row>
    <row r="388">
      <c r="B388" s="7" t="n"/>
      <c r="C388" s="7" t="n"/>
      <c r="D388" s="7">
        <f>IF(OR(B388="",C388=""),"",B388+C388)</f>
        <v/>
      </c>
      <c r="E388" s="7">
        <f>IF(D388="","",MAX($D$2:D388))</f>
        <v/>
      </c>
      <c r="F388" s="7">
        <f>IF(OR(E388="",D388=""),"",E388-D388)</f>
        <v/>
      </c>
      <c r="G388" s="8">
        <f>IF(OR(E388="",F388="",E388=0),"",F388/E388)</f>
        <v/>
      </c>
      <c r="H388" s="7" t="n"/>
      <c r="I388" s="7">
        <f>IF(OR(H388="",F388=""),"",H388-F388)</f>
        <v/>
      </c>
      <c r="J388">
        <f>IF(I388="","",IF(I388&lt;=0,"BREACH",IF(I388&lt;=500,"WARNING","OK")))</f>
        <v/>
      </c>
    </row>
    <row r="389">
      <c r="B389" s="7" t="n"/>
      <c r="C389" s="7" t="n"/>
      <c r="D389" s="7">
        <f>IF(OR(B389="",C389=""),"",B389+C389)</f>
        <v/>
      </c>
      <c r="E389" s="7">
        <f>IF(D389="","",MAX($D$2:D389))</f>
        <v/>
      </c>
      <c r="F389" s="7">
        <f>IF(OR(E389="",D389=""),"",E389-D389)</f>
        <v/>
      </c>
      <c r="G389" s="8">
        <f>IF(OR(E389="",F389="",E389=0),"",F389/E389)</f>
        <v/>
      </c>
      <c r="H389" s="7" t="n"/>
      <c r="I389" s="7">
        <f>IF(OR(H389="",F389=""),"",H389-F389)</f>
        <v/>
      </c>
      <c r="J389">
        <f>IF(I389="","",IF(I389&lt;=0,"BREACH",IF(I389&lt;=500,"WARNING","OK")))</f>
        <v/>
      </c>
    </row>
    <row r="390">
      <c r="B390" s="7" t="n"/>
      <c r="C390" s="7" t="n"/>
      <c r="D390" s="7">
        <f>IF(OR(B390="",C390=""),"",B390+C390)</f>
        <v/>
      </c>
      <c r="E390" s="7">
        <f>IF(D390="","",MAX($D$2:D390))</f>
        <v/>
      </c>
      <c r="F390" s="7">
        <f>IF(OR(E390="",D390=""),"",E390-D390)</f>
        <v/>
      </c>
      <c r="G390" s="8">
        <f>IF(OR(E390="",F390="",E390=0),"",F390/E390)</f>
        <v/>
      </c>
      <c r="H390" s="7" t="n"/>
      <c r="I390" s="7">
        <f>IF(OR(H390="",F390=""),"",H390-F390)</f>
        <v/>
      </c>
      <c r="J390">
        <f>IF(I390="","",IF(I390&lt;=0,"BREACH",IF(I390&lt;=500,"WARNING","OK")))</f>
        <v/>
      </c>
    </row>
    <row r="391">
      <c r="B391" s="7" t="n"/>
      <c r="C391" s="7" t="n"/>
      <c r="D391" s="7">
        <f>IF(OR(B391="",C391=""),"",B391+C391)</f>
        <v/>
      </c>
      <c r="E391" s="7">
        <f>IF(D391="","",MAX($D$2:D391))</f>
        <v/>
      </c>
      <c r="F391" s="7">
        <f>IF(OR(E391="",D391=""),"",E391-D391)</f>
        <v/>
      </c>
      <c r="G391" s="8">
        <f>IF(OR(E391="",F391="",E391=0),"",F391/E391)</f>
        <v/>
      </c>
      <c r="H391" s="7" t="n"/>
      <c r="I391" s="7">
        <f>IF(OR(H391="",F391=""),"",H391-F391)</f>
        <v/>
      </c>
      <c r="J391">
        <f>IF(I391="","",IF(I391&lt;=0,"BREACH",IF(I391&lt;=500,"WARNING","OK")))</f>
        <v/>
      </c>
    </row>
    <row r="392">
      <c r="B392" s="7" t="n"/>
      <c r="C392" s="7" t="n"/>
      <c r="D392" s="7">
        <f>IF(OR(B392="",C392=""),"",B392+C392)</f>
        <v/>
      </c>
      <c r="E392" s="7">
        <f>IF(D392="","",MAX($D$2:D392))</f>
        <v/>
      </c>
      <c r="F392" s="7">
        <f>IF(OR(E392="",D392=""),"",E392-D392)</f>
        <v/>
      </c>
      <c r="G392" s="8">
        <f>IF(OR(E392="",F392="",E392=0),"",F392/E392)</f>
        <v/>
      </c>
      <c r="H392" s="7" t="n"/>
      <c r="I392" s="7">
        <f>IF(OR(H392="",F392=""),"",H392-F392)</f>
        <v/>
      </c>
      <c r="J392">
        <f>IF(I392="","",IF(I392&lt;=0,"BREACH",IF(I392&lt;=500,"WARNING","OK")))</f>
        <v/>
      </c>
    </row>
    <row r="393">
      <c r="B393" s="7" t="n"/>
      <c r="C393" s="7" t="n"/>
      <c r="D393" s="7">
        <f>IF(OR(B393="",C393=""),"",B393+C393)</f>
        <v/>
      </c>
      <c r="E393" s="7">
        <f>IF(D393="","",MAX($D$2:D393))</f>
        <v/>
      </c>
      <c r="F393" s="7">
        <f>IF(OR(E393="",D393=""),"",E393-D393)</f>
        <v/>
      </c>
      <c r="G393" s="8">
        <f>IF(OR(E393="",F393="",E393=0),"",F393/E393)</f>
        <v/>
      </c>
      <c r="H393" s="7" t="n"/>
      <c r="I393" s="7">
        <f>IF(OR(H393="",F393=""),"",H393-F393)</f>
        <v/>
      </c>
      <c r="J393">
        <f>IF(I393="","",IF(I393&lt;=0,"BREACH",IF(I393&lt;=500,"WARNING","OK")))</f>
        <v/>
      </c>
    </row>
    <row r="394">
      <c r="B394" s="7" t="n"/>
      <c r="C394" s="7" t="n"/>
      <c r="D394" s="7">
        <f>IF(OR(B394="",C394=""),"",B394+C394)</f>
        <v/>
      </c>
      <c r="E394" s="7">
        <f>IF(D394="","",MAX($D$2:D394))</f>
        <v/>
      </c>
      <c r="F394" s="7">
        <f>IF(OR(E394="",D394=""),"",E394-D394)</f>
        <v/>
      </c>
      <c r="G394" s="8">
        <f>IF(OR(E394="",F394="",E394=0),"",F394/E394)</f>
        <v/>
      </c>
      <c r="H394" s="7" t="n"/>
      <c r="I394" s="7">
        <f>IF(OR(H394="",F394=""),"",H394-F394)</f>
        <v/>
      </c>
      <c r="J394">
        <f>IF(I394="","",IF(I394&lt;=0,"BREACH",IF(I394&lt;=500,"WARNING","OK")))</f>
        <v/>
      </c>
    </row>
    <row r="395">
      <c r="B395" s="7" t="n"/>
      <c r="C395" s="7" t="n"/>
      <c r="D395" s="7">
        <f>IF(OR(B395="",C395=""),"",B395+C395)</f>
        <v/>
      </c>
      <c r="E395" s="7">
        <f>IF(D395="","",MAX($D$2:D395))</f>
        <v/>
      </c>
      <c r="F395" s="7">
        <f>IF(OR(E395="",D395=""),"",E395-D395)</f>
        <v/>
      </c>
      <c r="G395" s="8">
        <f>IF(OR(E395="",F395="",E395=0),"",F395/E395)</f>
        <v/>
      </c>
      <c r="H395" s="7" t="n"/>
      <c r="I395" s="7">
        <f>IF(OR(H395="",F395=""),"",H395-F395)</f>
        <v/>
      </c>
      <c r="J395">
        <f>IF(I395="","",IF(I395&lt;=0,"BREACH",IF(I395&lt;=500,"WARNING","OK")))</f>
        <v/>
      </c>
    </row>
    <row r="396">
      <c r="B396" s="7" t="n"/>
      <c r="C396" s="7" t="n"/>
      <c r="D396" s="7">
        <f>IF(OR(B396="",C396=""),"",B396+C396)</f>
        <v/>
      </c>
      <c r="E396" s="7">
        <f>IF(D396="","",MAX($D$2:D396))</f>
        <v/>
      </c>
      <c r="F396" s="7">
        <f>IF(OR(E396="",D396=""),"",E396-D396)</f>
        <v/>
      </c>
      <c r="G396" s="8">
        <f>IF(OR(E396="",F396="",E396=0),"",F396/E396)</f>
        <v/>
      </c>
      <c r="H396" s="7" t="n"/>
      <c r="I396" s="7">
        <f>IF(OR(H396="",F396=""),"",H396-F396)</f>
        <v/>
      </c>
      <c r="J396">
        <f>IF(I396="","",IF(I396&lt;=0,"BREACH",IF(I396&lt;=500,"WARNING","OK")))</f>
        <v/>
      </c>
    </row>
    <row r="397">
      <c r="B397" s="7" t="n"/>
      <c r="C397" s="7" t="n"/>
      <c r="D397" s="7">
        <f>IF(OR(B397="",C397=""),"",B397+C397)</f>
        <v/>
      </c>
      <c r="E397" s="7">
        <f>IF(D397="","",MAX($D$2:D397))</f>
        <v/>
      </c>
      <c r="F397" s="7">
        <f>IF(OR(E397="",D397=""),"",E397-D397)</f>
        <v/>
      </c>
      <c r="G397" s="8">
        <f>IF(OR(E397="",F397="",E397=0),"",F397/E397)</f>
        <v/>
      </c>
      <c r="H397" s="7" t="n"/>
      <c r="I397" s="7">
        <f>IF(OR(H397="",F397=""),"",H397-F397)</f>
        <v/>
      </c>
      <c r="J397">
        <f>IF(I397="","",IF(I397&lt;=0,"BREACH",IF(I397&lt;=500,"WARNING","OK")))</f>
        <v/>
      </c>
    </row>
    <row r="398">
      <c r="B398" s="7" t="n"/>
      <c r="C398" s="7" t="n"/>
      <c r="D398" s="7">
        <f>IF(OR(B398="",C398=""),"",B398+C398)</f>
        <v/>
      </c>
      <c r="E398" s="7">
        <f>IF(D398="","",MAX($D$2:D398))</f>
        <v/>
      </c>
      <c r="F398" s="7">
        <f>IF(OR(E398="",D398=""),"",E398-D398)</f>
        <v/>
      </c>
      <c r="G398" s="8">
        <f>IF(OR(E398="",F398="",E398=0),"",F398/E398)</f>
        <v/>
      </c>
      <c r="H398" s="7" t="n"/>
      <c r="I398" s="7">
        <f>IF(OR(H398="",F398=""),"",H398-F398)</f>
        <v/>
      </c>
      <c r="J398">
        <f>IF(I398="","",IF(I398&lt;=0,"BREACH",IF(I398&lt;=500,"WARNING","OK")))</f>
        <v/>
      </c>
    </row>
    <row r="399">
      <c r="B399" s="7" t="n"/>
      <c r="C399" s="7" t="n"/>
      <c r="D399" s="7">
        <f>IF(OR(B399="",C399=""),"",B399+C399)</f>
        <v/>
      </c>
      <c r="E399" s="7">
        <f>IF(D399="","",MAX($D$2:D399))</f>
        <v/>
      </c>
      <c r="F399" s="7">
        <f>IF(OR(E399="",D399=""),"",E399-D399)</f>
        <v/>
      </c>
      <c r="G399" s="8">
        <f>IF(OR(E399="",F399="",E399=0),"",F399/E399)</f>
        <v/>
      </c>
      <c r="H399" s="7" t="n"/>
      <c r="I399" s="7">
        <f>IF(OR(H399="",F399=""),"",H399-F399)</f>
        <v/>
      </c>
      <c r="J399">
        <f>IF(I399="","",IF(I399&lt;=0,"BREACH",IF(I399&lt;=500,"WARNING","OK")))</f>
        <v/>
      </c>
    </row>
    <row r="400">
      <c r="B400" s="7" t="n"/>
      <c r="C400" s="7" t="n"/>
      <c r="D400" s="7">
        <f>IF(OR(B400="",C400=""),"",B400+C400)</f>
        <v/>
      </c>
      <c r="E400" s="7">
        <f>IF(D400="","",MAX($D$2:D400))</f>
        <v/>
      </c>
      <c r="F400" s="7">
        <f>IF(OR(E400="",D400=""),"",E400-D400)</f>
        <v/>
      </c>
      <c r="G400" s="8">
        <f>IF(OR(E400="",F400="",E400=0),"",F400/E400)</f>
        <v/>
      </c>
      <c r="H400" s="7" t="n"/>
      <c r="I400" s="7">
        <f>IF(OR(H400="",F400=""),"",H400-F400)</f>
        <v/>
      </c>
      <c r="J400">
        <f>IF(I400="","",IF(I400&lt;=0,"BREACH",IF(I400&lt;=500,"WARNING","OK")))</f>
        <v/>
      </c>
    </row>
    <row r="401">
      <c r="B401" s="7" t="n"/>
      <c r="C401" s="7" t="n"/>
      <c r="D401" s="7">
        <f>IF(OR(B401="",C401=""),"",B401+C401)</f>
        <v/>
      </c>
      <c r="E401" s="7">
        <f>IF(D401="","",MAX($D$2:D401))</f>
        <v/>
      </c>
      <c r="F401" s="7">
        <f>IF(OR(E401="",D401=""),"",E401-D401)</f>
        <v/>
      </c>
      <c r="G401" s="8">
        <f>IF(OR(E401="",F401="",E401=0),"",F401/E401)</f>
        <v/>
      </c>
      <c r="H401" s="7" t="n"/>
      <c r="I401" s="7">
        <f>IF(OR(H401="",F401=""),"",H401-F401)</f>
        <v/>
      </c>
      <c r="J401">
        <f>IF(I401="","",IF(I401&lt;=0,"BREACH",IF(I401&lt;=500,"WARNING","OK")))</f>
        <v/>
      </c>
    </row>
    <row r="402">
      <c r="B402" s="7" t="n"/>
      <c r="C402" s="7" t="n"/>
      <c r="D402" s="7">
        <f>IF(OR(B402="",C402=""),"",B402+C402)</f>
        <v/>
      </c>
      <c r="E402" s="7">
        <f>IF(D402="","",MAX($D$2:D402))</f>
        <v/>
      </c>
      <c r="F402" s="7">
        <f>IF(OR(E402="",D402=""),"",E402-D402)</f>
        <v/>
      </c>
      <c r="G402" s="8">
        <f>IF(OR(E402="",F402="",E402=0),"",F402/E402)</f>
        <v/>
      </c>
      <c r="H402" s="7" t="n"/>
      <c r="I402" s="7">
        <f>IF(OR(H402="",F402=""),"",H402-F402)</f>
        <v/>
      </c>
      <c r="J402">
        <f>IF(I402="","",IF(I402&lt;=0,"BREACH",IF(I402&lt;=500,"WARNING","OK")))</f>
        <v/>
      </c>
    </row>
    <row r="403">
      <c r="B403" s="7" t="n"/>
      <c r="C403" s="7" t="n"/>
      <c r="D403" s="7">
        <f>IF(OR(B403="",C403=""),"",B403+C403)</f>
        <v/>
      </c>
      <c r="E403" s="7">
        <f>IF(D403="","",MAX($D$2:D403))</f>
        <v/>
      </c>
      <c r="F403" s="7">
        <f>IF(OR(E403="",D403=""),"",E403-D403)</f>
        <v/>
      </c>
      <c r="G403" s="8">
        <f>IF(OR(E403="",F403="",E403=0),"",F403/E403)</f>
        <v/>
      </c>
      <c r="H403" s="7" t="n"/>
      <c r="I403" s="7">
        <f>IF(OR(H403="",F403=""),"",H403-F403)</f>
        <v/>
      </c>
      <c r="J403">
        <f>IF(I403="","",IF(I403&lt;=0,"BREACH",IF(I403&lt;=500,"WARNING","OK")))</f>
        <v/>
      </c>
    </row>
    <row r="404">
      <c r="B404" s="7" t="n"/>
      <c r="C404" s="7" t="n"/>
      <c r="D404" s="7">
        <f>IF(OR(B404="",C404=""),"",B404+C404)</f>
        <v/>
      </c>
      <c r="E404" s="7">
        <f>IF(D404="","",MAX($D$2:D404))</f>
        <v/>
      </c>
      <c r="F404" s="7">
        <f>IF(OR(E404="",D404=""),"",E404-D404)</f>
        <v/>
      </c>
      <c r="G404" s="8">
        <f>IF(OR(E404="",F404="",E404=0),"",F404/E404)</f>
        <v/>
      </c>
      <c r="H404" s="7" t="n"/>
      <c r="I404" s="7">
        <f>IF(OR(H404="",F404=""),"",H404-F404)</f>
        <v/>
      </c>
      <c r="J404">
        <f>IF(I404="","",IF(I404&lt;=0,"BREACH",IF(I404&lt;=500,"WARNING","OK")))</f>
        <v/>
      </c>
    </row>
    <row r="405">
      <c r="B405" s="7" t="n"/>
      <c r="C405" s="7" t="n"/>
      <c r="D405" s="7">
        <f>IF(OR(B405="",C405=""),"",B405+C405)</f>
        <v/>
      </c>
      <c r="E405" s="7">
        <f>IF(D405="","",MAX($D$2:D405))</f>
        <v/>
      </c>
      <c r="F405" s="7">
        <f>IF(OR(E405="",D405=""),"",E405-D405)</f>
        <v/>
      </c>
      <c r="G405" s="8">
        <f>IF(OR(E405="",F405="",E405=0),"",F405/E405)</f>
        <v/>
      </c>
      <c r="H405" s="7" t="n"/>
      <c r="I405" s="7">
        <f>IF(OR(H405="",F405=""),"",H405-F405)</f>
        <v/>
      </c>
      <c r="J405">
        <f>IF(I405="","",IF(I405&lt;=0,"BREACH",IF(I405&lt;=500,"WARNING","OK")))</f>
        <v/>
      </c>
    </row>
    <row r="406">
      <c r="B406" s="7" t="n"/>
      <c r="C406" s="7" t="n"/>
      <c r="D406" s="7">
        <f>IF(OR(B406="",C406=""),"",B406+C406)</f>
        <v/>
      </c>
      <c r="E406" s="7">
        <f>IF(D406="","",MAX($D$2:D406))</f>
        <v/>
      </c>
      <c r="F406" s="7">
        <f>IF(OR(E406="",D406=""),"",E406-D406)</f>
        <v/>
      </c>
      <c r="G406" s="8">
        <f>IF(OR(E406="",F406="",E406=0),"",F406/E406)</f>
        <v/>
      </c>
      <c r="H406" s="7" t="n"/>
      <c r="I406" s="7">
        <f>IF(OR(H406="",F406=""),"",H406-F406)</f>
        <v/>
      </c>
      <c r="J406">
        <f>IF(I406="","",IF(I406&lt;=0,"BREACH",IF(I406&lt;=500,"WARNING","OK")))</f>
        <v/>
      </c>
    </row>
    <row r="407">
      <c r="B407" s="7" t="n"/>
      <c r="C407" s="7" t="n"/>
      <c r="D407" s="7">
        <f>IF(OR(B407="",C407=""),"",B407+C407)</f>
        <v/>
      </c>
      <c r="E407" s="7">
        <f>IF(D407="","",MAX($D$2:D407))</f>
        <v/>
      </c>
      <c r="F407" s="7">
        <f>IF(OR(E407="",D407=""),"",E407-D407)</f>
        <v/>
      </c>
      <c r="G407" s="8">
        <f>IF(OR(E407="",F407="",E407=0),"",F407/E407)</f>
        <v/>
      </c>
      <c r="H407" s="7" t="n"/>
      <c r="I407" s="7">
        <f>IF(OR(H407="",F407=""),"",H407-F407)</f>
        <v/>
      </c>
      <c r="J407">
        <f>IF(I407="","",IF(I407&lt;=0,"BREACH",IF(I407&lt;=500,"WARNING","OK")))</f>
        <v/>
      </c>
    </row>
    <row r="408">
      <c r="B408" s="7" t="n"/>
      <c r="C408" s="7" t="n"/>
      <c r="D408" s="7">
        <f>IF(OR(B408="",C408=""),"",B408+C408)</f>
        <v/>
      </c>
      <c r="E408" s="7">
        <f>IF(D408="","",MAX($D$2:D408))</f>
        <v/>
      </c>
      <c r="F408" s="7">
        <f>IF(OR(E408="",D408=""),"",E408-D408)</f>
        <v/>
      </c>
      <c r="G408" s="8">
        <f>IF(OR(E408="",F408="",E408=0),"",F408/E408)</f>
        <v/>
      </c>
      <c r="H408" s="7" t="n"/>
      <c r="I408" s="7">
        <f>IF(OR(H408="",F408=""),"",H408-F408)</f>
        <v/>
      </c>
      <c r="J408">
        <f>IF(I408="","",IF(I408&lt;=0,"BREACH",IF(I408&lt;=500,"WARNING","OK")))</f>
        <v/>
      </c>
    </row>
    <row r="409">
      <c r="B409" s="7" t="n"/>
      <c r="C409" s="7" t="n"/>
      <c r="D409" s="7">
        <f>IF(OR(B409="",C409=""),"",B409+C409)</f>
        <v/>
      </c>
      <c r="E409" s="7">
        <f>IF(D409="","",MAX($D$2:D409))</f>
        <v/>
      </c>
      <c r="F409" s="7">
        <f>IF(OR(E409="",D409=""),"",E409-D409)</f>
        <v/>
      </c>
      <c r="G409" s="8">
        <f>IF(OR(E409="",F409="",E409=0),"",F409/E409)</f>
        <v/>
      </c>
      <c r="H409" s="7" t="n"/>
      <c r="I409" s="7">
        <f>IF(OR(H409="",F409=""),"",H409-F409)</f>
        <v/>
      </c>
      <c r="J409">
        <f>IF(I409="","",IF(I409&lt;=0,"BREACH",IF(I409&lt;=500,"WARNING","OK")))</f>
        <v/>
      </c>
    </row>
    <row r="410">
      <c r="B410" s="7" t="n"/>
      <c r="C410" s="7" t="n"/>
      <c r="D410" s="7">
        <f>IF(OR(B410="",C410=""),"",B410+C410)</f>
        <v/>
      </c>
      <c r="E410" s="7">
        <f>IF(D410="","",MAX($D$2:D410))</f>
        <v/>
      </c>
      <c r="F410" s="7">
        <f>IF(OR(E410="",D410=""),"",E410-D410)</f>
        <v/>
      </c>
      <c r="G410" s="8">
        <f>IF(OR(E410="",F410="",E410=0),"",F410/E410)</f>
        <v/>
      </c>
      <c r="H410" s="7" t="n"/>
      <c r="I410" s="7">
        <f>IF(OR(H410="",F410=""),"",H410-F410)</f>
        <v/>
      </c>
      <c r="J410">
        <f>IF(I410="","",IF(I410&lt;=0,"BREACH",IF(I410&lt;=500,"WARNING","OK")))</f>
        <v/>
      </c>
    </row>
    <row r="411">
      <c r="B411" s="7" t="n"/>
      <c r="C411" s="7" t="n"/>
      <c r="D411" s="7">
        <f>IF(OR(B411="",C411=""),"",B411+C411)</f>
        <v/>
      </c>
      <c r="E411" s="7">
        <f>IF(D411="","",MAX($D$2:D411))</f>
        <v/>
      </c>
      <c r="F411" s="7">
        <f>IF(OR(E411="",D411=""),"",E411-D411)</f>
        <v/>
      </c>
      <c r="G411" s="8">
        <f>IF(OR(E411="",F411="",E411=0),"",F411/E411)</f>
        <v/>
      </c>
      <c r="H411" s="7" t="n"/>
      <c r="I411" s="7">
        <f>IF(OR(H411="",F411=""),"",H411-F411)</f>
        <v/>
      </c>
      <c r="J411">
        <f>IF(I411="","",IF(I411&lt;=0,"BREACH",IF(I411&lt;=500,"WARNING","OK")))</f>
        <v/>
      </c>
    </row>
    <row r="412">
      <c r="B412" s="7" t="n"/>
      <c r="C412" s="7" t="n"/>
      <c r="D412" s="7">
        <f>IF(OR(B412="",C412=""),"",B412+C412)</f>
        <v/>
      </c>
      <c r="E412" s="7">
        <f>IF(D412="","",MAX($D$2:D412))</f>
        <v/>
      </c>
      <c r="F412" s="7">
        <f>IF(OR(E412="",D412=""),"",E412-D412)</f>
        <v/>
      </c>
      <c r="G412" s="8">
        <f>IF(OR(E412="",F412="",E412=0),"",F412/E412)</f>
        <v/>
      </c>
      <c r="H412" s="7" t="n"/>
      <c r="I412" s="7">
        <f>IF(OR(H412="",F412=""),"",H412-F412)</f>
        <v/>
      </c>
      <c r="J412">
        <f>IF(I412="","",IF(I412&lt;=0,"BREACH",IF(I412&lt;=500,"WARNING","OK")))</f>
        <v/>
      </c>
    </row>
    <row r="413">
      <c r="B413" s="7" t="n"/>
      <c r="C413" s="7" t="n"/>
      <c r="D413" s="7">
        <f>IF(OR(B413="",C413=""),"",B413+C413)</f>
        <v/>
      </c>
      <c r="E413" s="7">
        <f>IF(D413="","",MAX($D$2:D413))</f>
        <v/>
      </c>
      <c r="F413" s="7">
        <f>IF(OR(E413="",D413=""),"",E413-D413)</f>
        <v/>
      </c>
      <c r="G413" s="8">
        <f>IF(OR(E413="",F413="",E413=0),"",F413/E413)</f>
        <v/>
      </c>
      <c r="H413" s="7" t="n"/>
      <c r="I413" s="7">
        <f>IF(OR(H413="",F413=""),"",H413-F413)</f>
        <v/>
      </c>
      <c r="J413">
        <f>IF(I413="","",IF(I413&lt;=0,"BREACH",IF(I413&lt;=500,"WARNING","OK")))</f>
        <v/>
      </c>
    </row>
    <row r="414">
      <c r="B414" s="7" t="n"/>
      <c r="C414" s="7" t="n"/>
      <c r="D414" s="7">
        <f>IF(OR(B414="",C414=""),"",B414+C414)</f>
        <v/>
      </c>
      <c r="E414" s="7">
        <f>IF(D414="","",MAX($D$2:D414))</f>
        <v/>
      </c>
      <c r="F414" s="7">
        <f>IF(OR(E414="",D414=""),"",E414-D414)</f>
        <v/>
      </c>
      <c r="G414" s="8">
        <f>IF(OR(E414="",F414="",E414=0),"",F414/E414)</f>
        <v/>
      </c>
      <c r="H414" s="7" t="n"/>
      <c r="I414" s="7">
        <f>IF(OR(H414="",F414=""),"",H414-F414)</f>
        <v/>
      </c>
      <c r="J414">
        <f>IF(I414="","",IF(I414&lt;=0,"BREACH",IF(I414&lt;=500,"WARNING","OK")))</f>
        <v/>
      </c>
    </row>
    <row r="415">
      <c r="B415" s="7" t="n"/>
      <c r="C415" s="7" t="n"/>
      <c r="D415" s="7">
        <f>IF(OR(B415="",C415=""),"",B415+C415)</f>
        <v/>
      </c>
      <c r="E415" s="7">
        <f>IF(D415="","",MAX($D$2:D415))</f>
        <v/>
      </c>
      <c r="F415" s="7">
        <f>IF(OR(E415="",D415=""),"",E415-D415)</f>
        <v/>
      </c>
      <c r="G415" s="8">
        <f>IF(OR(E415="",F415="",E415=0),"",F415/E415)</f>
        <v/>
      </c>
      <c r="H415" s="7" t="n"/>
      <c r="I415" s="7">
        <f>IF(OR(H415="",F415=""),"",H415-F415)</f>
        <v/>
      </c>
      <c r="J415">
        <f>IF(I415="","",IF(I415&lt;=0,"BREACH",IF(I415&lt;=500,"WARNING","OK")))</f>
        <v/>
      </c>
    </row>
    <row r="416">
      <c r="B416" s="7" t="n"/>
      <c r="C416" s="7" t="n"/>
      <c r="D416" s="7">
        <f>IF(OR(B416="",C416=""),"",B416+C416)</f>
        <v/>
      </c>
      <c r="E416" s="7">
        <f>IF(D416="","",MAX($D$2:D416))</f>
        <v/>
      </c>
      <c r="F416" s="7">
        <f>IF(OR(E416="",D416=""),"",E416-D416)</f>
        <v/>
      </c>
      <c r="G416" s="8">
        <f>IF(OR(E416="",F416="",E416=0),"",F416/E416)</f>
        <v/>
      </c>
      <c r="H416" s="7" t="n"/>
      <c r="I416" s="7">
        <f>IF(OR(H416="",F416=""),"",H416-F416)</f>
        <v/>
      </c>
      <c r="J416">
        <f>IF(I416="","",IF(I416&lt;=0,"BREACH",IF(I416&lt;=500,"WARNING","OK")))</f>
        <v/>
      </c>
    </row>
    <row r="417">
      <c r="B417" s="7" t="n"/>
      <c r="C417" s="7" t="n"/>
      <c r="D417" s="7">
        <f>IF(OR(B417="",C417=""),"",B417+C417)</f>
        <v/>
      </c>
      <c r="E417" s="7">
        <f>IF(D417="","",MAX($D$2:D417))</f>
        <v/>
      </c>
      <c r="F417" s="7">
        <f>IF(OR(E417="",D417=""),"",E417-D417)</f>
        <v/>
      </c>
      <c r="G417" s="8">
        <f>IF(OR(E417="",F417="",E417=0),"",F417/E417)</f>
        <v/>
      </c>
      <c r="H417" s="7" t="n"/>
      <c r="I417" s="7">
        <f>IF(OR(H417="",F417=""),"",H417-F417)</f>
        <v/>
      </c>
      <c r="J417">
        <f>IF(I417="","",IF(I417&lt;=0,"BREACH",IF(I417&lt;=500,"WARNING","OK")))</f>
        <v/>
      </c>
    </row>
    <row r="418">
      <c r="B418" s="7" t="n"/>
      <c r="C418" s="7" t="n"/>
      <c r="D418" s="7">
        <f>IF(OR(B418="",C418=""),"",B418+C418)</f>
        <v/>
      </c>
      <c r="E418" s="7">
        <f>IF(D418="","",MAX($D$2:D418))</f>
        <v/>
      </c>
      <c r="F418" s="7">
        <f>IF(OR(E418="",D418=""),"",E418-D418)</f>
        <v/>
      </c>
      <c r="G418" s="8">
        <f>IF(OR(E418="",F418="",E418=0),"",F418/E418)</f>
        <v/>
      </c>
      <c r="H418" s="7" t="n"/>
      <c r="I418" s="7">
        <f>IF(OR(H418="",F418=""),"",H418-F418)</f>
        <v/>
      </c>
      <c r="J418">
        <f>IF(I418="","",IF(I418&lt;=0,"BREACH",IF(I418&lt;=500,"WARNING","OK")))</f>
        <v/>
      </c>
    </row>
    <row r="419">
      <c r="B419" s="7" t="n"/>
      <c r="C419" s="7" t="n"/>
      <c r="D419" s="7">
        <f>IF(OR(B419="",C419=""),"",B419+C419)</f>
        <v/>
      </c>
      <c r="E419" s="7">
        <f>IF(D419="","",MAX($D$2:D419))</f>
        <v/>
      </c>
      <c r="F419" s="7">
        <f>IF(OR(E419="",D419=""),"",E419-D419)</f>
        <v/>
      </c>
      <c r="G419" s="8">
        <f>IF(OR(E419="",F419="",E419=0),"",F419/E419)</f>
        <v/>
      </c>
      <c r="H419" s="7" t="n"/>
      <c r="I419" s="7">
        <f>IF(OR(H419="",F419=""),"",H419-F419)</f>
        <v/>
      </c>
      <c r="J419">
        <f>IF(I419="","",IF(I419&lt;=0,"BREACH",IF(I419&lt;=500,"WARNING","OK")))</f>
        <v/>
      </c>
    </row>
    <row r="420">
      <c r="B420" s="7" t="n"/>
      <c r="C420" s="7" t="n"/>
      <c r="D420" s="7">
        <f>IF(OR(B420="",C420=""),"",B420+C420)</f>
        <v/>
      </c>
      <c r="E420" s="7">
        <f>IF(D420="","",MAX($D$2:D420))</f>
        <v/>
      </c>
      <c r="F420" s="7">
        <f>IF(OR(E420="",D420=""),"",E420-D420)</f>
        <v/>
      </c>
      <c r="G420" s="8">
        <f>IF(OR(E420="",F420="",E420=0),"",F420/E420)</f>
        <v/>
      </c>
      <c r="H420" s="7" t="n"/>
      <c r="I420" s="7">
        <f>IF(OR(H420="",F420=""),"",H420-F420)</f>
        <v/>
      </c>
      <c r="J420">
        <f>IF(I420="","",IF(I420&lt;=0,"BREACH",IF(I420&lt;=500,"WARNING","OK")))</f>
        <v/>
      </c>
    </row>
    <row r="421">
      <c r="B421" s="7" t="n"/>
      <c r="C421" s="7" t="n"/>
      <c r="D421" s="7">
        <f>IF(OR(B421="",C421=""),"",B421+C421)</f>
        <v/>
      </c>
      <c r="E421" s="7">
        <f>IF(D421="","",MAX($D$2:D421))</f>
        <v/>
      </c>
      <c r="F421" s="7">
        <f>IF(OR(E421="",D421=""),"",E421-D421)</f>
        <v/>
      </c>
      <c r="G421" s="8">
        <f>IF(OR(E421="",F421="",E421=0),"",F421/E421)</f>
        <v/>
      </c>
      <c r="H421" s="7" t="n"/>
      <c r="I421" s="7">
        <f>IF(OR(H421="",F421=""),"",H421-F421)</f>
        <v/>
      </c>
      <c r="J421">
        <f>IF(I421="","",IF(I421&lt;=0,"BREACH",IF(I421&lt;=500,"WARNING","OK")))</f>
        <v/>
      </c>
    </row>
    <row r="422">
      <c r="B422" s="7" t="n"/>
      <c r="C422" s="7" t="n"/>
      <c r="D422" s="7">
        <f>IF(OR(B422="",C422=""),"",B422+C422)</f>
        <v/>
      </c>
      <c r="E422" s="7">
        <f>IF(D422="","",MAX($D$2:D422))</f>
        <v/>
      </c>
      <c r="F422" s="7">
        <f>IF(OR(E422="",D422=""),"",E422-D422)</f>
        <v/>
      </c>
      <c r="G422" s="8">
        <f>IF(OR(E422="",F422="",E422=0),"",F422/E422)</f>
        <v/>
      </c>
      <c r="H422" s="7" t="n"/>
      <c r="I422" s="7">
        <f>IF(OR(H422="",F422=""),"",H422-F422)</f>
        <v/>
      </c>
      <c r="J422">
        <f>IF(I422="","",IF(I422&lt;=0,"BREACH",IF(I422&lt;=500,"WARNING","OK")))</f>
        <v/>
      </c>
    </row>
    <row r="423">
      <c r="B423" s="7" t="n"/>
      <c r="C423" s="7" t="n"/>
      <c r="D423" s="7">
        <f>IF(OR(B423="",C423=""),"",B423+C423)</f>
        <v/>
      </c>
      <c r="E423" s="7">
        <f>IF(D423="","",MAX($D$2:D423))</f>
        <v/>
      </c>
      <c r="F423" s="7">
        <f>IF(OR(E423="",D423=""),"",E423-D423)</f>
        <v/>
      </c>
      <c r="G423" s="8">
        <f>IF(OR(E423="",F423="",E423=0),"",F423/E423)</f>
        <v/>
      </c>
      <c r="H423" s="7" t="n"/>
      <c r="I423" s="7">
        <f>IF(OR(H423="",F423=""),"",H423-F423)</f>
        <v/>
      </c>
      <c r="J423">
        <f>IF(I423="","",IF(I423&lt;=0,"BREACH",IF(I423&lt;=500,"WARNING","OK")))</f>
        <v/>
      </c>
    </row>
    <row r="424">
      <c r="B424" s="7" t="n"/>
      <c r="C424" s="7" t="n"/>
      <c r="D424" s="7">
        <f>IF(OR(B424="",C424=""),"",B424+C424)</f>
        <v/>
      </c>
      <c r="E424" s="7">
        <f>IF(D424="","",MAX($D$2:D424))</f>
        <v/>
      </c>
      <c r="F424" s="7">
        <f>IF(OR(E424="",D424=""),"",E424-D424)</f>
        <v/>
      </c>
      <c r="G424" s="8">
        <f>IF(OR(E424="",F424="",E424=0),"",F424/E424)</f>
        <v/>
      </c>
      <c r="H424" s="7" t="n"/>
      <c r="I424" s="7">
        <f>IF(OR(H424="",F424=""),"",H424-F424)</f>
        <v/>
      </c>
      <c r="J424">
        <f>IF(I424="","",IF(I424&lt;=0,"BREACH",IF(I424&lt;=500,"WARNING","OK")))</f>
        <v/>
      </c>
    </row>
    <row r="425">
      <c r="B425" s="7" t="n"/>
      <c r="C425" s="7" t="n"/>
      <c r="D425" s="7">
        <f>IF(OR(B425="",C425=""),"",B425+C425)</f>
        <v/>
      </c>
      <c r="E425" s="7">
        <f>IF(D425="","",MAX($D$2:D425))</f>
        <v/>
      </c>
      <c r="F425" s="7">
        <f>IF(OR(E425="",D425=""),"",E425-D425)</f>
        <v/>
      </c>
      <c r="G425" s="8">
        <f>IF(OR(E425="",F425="",E425=0),"",F425/E425)</f>
        <v/>
      </c>
      <c r="H425" s="7" t="n"/>
      <c r="I425" s="7">
        <f>IF(OR(H425="",F425=""),"",H425-F425)</f>
        <v/>
      </c>
      <c r="J425">
        <f>IF(I425="","",IF(I425&lt;=0,"BREACH",IF(I425&lt;=500,"WARNING","OK")))</f>
        <v/>
      </c>
    </row>
    <row r="426">
      <c r="B426" s="7" t="n"/>
      <c r="C426" s="7" t="n"/>
      <c r="D426" s="7">
        <f>IF(OR(B426="",C426=""),"",B426+C426)</f>
        <v/>
      </c>
      <c r="E426" s="7">
        <f>IF(D426="","",MAX($D$2:D426))</f>
        <v/>
      </c>
      <c r="F426" s="7">
        <f>IF(OR(E426="",D426=""),"",E426-D426)</f>
        <v/>
      </c>
      <c r="G426" s="8">
        <f>IF(OR(E426="",F426="",E426=0),"",F426/E426)</f>
        <v/>
      </c>
      <c r="H426" s="7" t="n"/>
      <c r="I426" s="7">
        <f>IF(OR(H426="",F426=""),"",H426-F426)</f>
        <v/>
      </c>
      <c r="J426">
        <f>IF(I426="","",IF(I426&lt;=0,"BREACH",IF(I426&lt;=500,"WARNING","OK")))</f>
        <v/>
      </c>
    </row>
    <row r="427">
      <c r="B427" s="7" t="n"/>
      <c r="C427" s="7" t="n"/>
      <c r="D427" s="7">
        <f>IF(OR(B427="",C427=""),"",B427+C427)</f>
        <v/>
      </c>
      <c r="E427" s="7">
        <f>IF(D427="","",MAX($D$2:D427))</f>
        <v/>
      </c>
      <c r="F427" s="7">
        <f>IF(OR(E427="",D427=""),"",E427-D427)</f>
        <v/>
      </c>
      <c r="G427" s="8">
        <f>IF(OR(E427="",F427="",E427=0),"",F427/E427)</f>
        <v/>
      </c>
      <c r="H427" s="7" t="n"/>
      <c r="I427" s="7">
        <f>IF(OR(H427="",F427=""),"",H427-F427)</f>
        <v/>
      </c>
      <c r="J427">
        <f>IF(I427="","",IF(I427&lt;=0,"BREACH",IF(I427&lt;=500,"WARNING","OK")))</f>
        <v/>
      </c>
    </row>
    <row r="428">
      <c r="B428" s="7" t="n"/>
      <c r="C428" s="7" t="n"/>
      <c r="D428" s="7">
        <f>IF(OR(B428="",C428=""),"",B428+C428)</f>
        <v/>
      </c>
      <c r="E428" s="7">
        <f>IF(D428="","",MAX($D$2:D428))</f>
        <v/>
      </c>
      <c r="F428" s="7">
        <f>IF(OR(E428="",D428=""),"",E428-D428)</f>
        <v/>
      </c>
      <c r="G428" s="8">
        <f>IF(OR(E428="",F428="",E428=0),"",F428/E428)</f>
        <v/>
      </c>
      <c r="H428" s="7" t="n"/>
      <c r="I428" s="7">
        <f>IF(OR(H428="",F428=""),"",H428-F428)</f>
        <v/>
      </c>
      <c r="J428">
        <f>IF(I428="","",IF(I428&lt;=0,"BREACH",IF(I428&lt;=500,"WARNING","OK")))</f>
        <v/>
      </c>
    </row>
    <row r="429">
      <c r="B429" s="7" t="n"/>
      <c r="C429" s="7" t="n"/>
      <c r="D429" s="7">
        <f>IF(OR(B429="",C429=""),"",B429+C429)</f>
        <v/>
      </c>
      <c r="E429" s="7">
        <f>IF(D429="","",MAX($D$2:D429))</f>
        <v/>
      </c>
      <c r="F429" s="7">
        <f>IF(OR(E429="",D429=""),"",E429-D429)</f>
        <v/>
      </c>
      <c r="G429" s="8">
        <f>IF(OR(E429="",F429="",E429=0),"",F429/E429)</f>
        <v/>
      </c>
      <c r="H429" s="7" t="n"/>
      <c r="I429" s="7">
        <f>IF(OR(H429="",F429=""),"",H429-F429)</f>
        <v/>
      </c>
      <c r="J429">
        <f>IF(I429="","",IF(I429&lt;=0,"BREACH",IF(I429&lt;=500,"WARNING","OK")))</f>
        <v/>
      </c>
    </row>
    <row r="430">
      <c r="B430" s="7" t="n"/>
      <c r="C430" s="7" t="n"/>
      <c r="D430" s="7">
        <f>IF(OR(B430="",C430=""),"",B430+C430)</f>
        <v/>
      </c>
      <c r="E430" s="7">
        <f>IF(D430="","",MAX($D$2:D430))</f>
        <v/>
      </c>
      <c r="F430" s="7">
        <f>IF(OR(E430="",D430=""),"",E430-D430)</f>
        <v/>
      </c>
      <c r="G430" s="8">
        <f>IF(OR(E430="",F430="",E430=0),"",F430/E430)</f>
        <v/>
      </c>
      <c r="H430" s="7" t="n"/>
      <c r="I430" s="7">
        <f>IF(OR(H430="",F430=""),"",H430-F430)</f>
        <v/>
      </c>
      <c r="J430">
        <f>IF(I430="","",IF(I430&lt;=0,"BREACH",IF(I430&lt;=500,"WARNING","OK")))</f>
        <v/>
      </c>
    </row>
    <row r="431">
      <c r="B431" s="7" t="n"/>
      <c r="C431" s="7" t="n"/>
      <c r="D431" s="7">
        <f>IF(OR(B431="",C431=""),"",B431+C431)</f>
        <v/>
      </c>
      <c r="E431" s="7">
        <f>IF(D431="","",MAX($D$2:D431))</f>
        <v/>
      </c>
      <c r="F431" s="7">
        <f>IF(OR(E431="",D431=""),"",E431-D431)</f>
        <v/>
      </c>
      <c r="G431" s="8">
        <f>IF(OR(E431="",F431="",E431=0),"",F431/E431)</f>
        <v/>
      </c>
      <c r="H431" s="7" t="n"/>
      <c r="I431" s="7">
        <f>IF(OR(H431="",F431=""),"",H431-F431)</f>
        <v/>
      </c>
      <c r="J431">
        <f>IF(I431="","",IF(I431&lt;=0,"BREACH",IF(I431&lt;=500,"WARNING","OK")))</f>
        <v/>
      </c>
    </row>
    <row r="432">
      <c r="B432" s="7" t="n"/>
      <c r="C432" s="7" t="n"/>
      <c r="D432" s="7">
        <f>IF(OR(B432="",C432=""),"",B432+C432)</f>
        <v/>
      </c>
      <c r="E432" s="7">
        <f>IF(D432="","",MAX($D$2:D432))</f>
        <v/>
      </c>
      <c r="F432" s="7">
        <f>IF(OR(E432="",D432=""),"",E432-D432)</f>
        <v/>
      </c>
      <c r="G432" s="8">
        <f>IF(OR(E432="",F432="",E432=0),"",F432/E432)</f>
        <v/>
      </c>
      <c r="H432" s="7" t="n"/>
      <c r="I432" s="7">
        <f>IF(OR(H432="",F432=""),"",H432-F432)</f>
        <v/>
      </c>
      <c r="J432">
        <f>IF(I432="","",IF(I432&lt;=0,"BREACH",IF(I432&lt;=500,"WARNING","OK")))</f>
        <v/>
      </c>
    </row>
    <row r="433">
      <c r="B433" s="7" t="n"/>
      <c r="C433" s="7" t="n"/>
      <c r="D433" s="7">
        <f>IF(OR(B433="",C433=""),"",B433+C433)</f>
        <v/>
      </c>
      <c r="E433" s="7">
        <f>IF(D433="","",MAX($D$2:D433))</f>
        <v/>
      </c>
      <c r="F433" s="7">
        <f>IF(OR(E433="",D433=""),"",E433-D433)</f>
        <v/>
      </c>
      <c r="G433" s="8">
        <f>IF(OR(E433="",F433="",E433=0),"",F433/E433)</f>
        <v/>
      </c>
      <c r="H433" s="7" t="n"/>
      <c r="I433" s="7">
        <f>IF(OR(H433="",F433=""),"",H433-F433)</f>
        <v/>
      </c>
      <c r="J433">
        <f>IF(I433="","",IF(I433&lt;=0,"BREACH",IF(I433&lt;=500,"WARNING","OK")))</f>
        <v/>
      </c>
    </row>
    <row r="434">
      <c r="B434" s="7" t="n"/>
      <c r="C434" s="7" t="n"/>
      <c r="D434" s="7">
        <f>IF(OR(B434="",C434=""),"",B434+C434)</f>
        <v/>
      </c>
      <c r="E434" s="7">
        <f>IF(D434="","",MAX($D$2:D434))</f>
        <v/>
      </c>
      <c r="F434" s="7">
        <f>IF(OR(E434="",D434=""),"",E434-D434)</f>
        <v/>
      </c>
      <c r="G434" s="8">
        <f>IF(OR(E434="",F434="",E434=0),"",F434/E434)</f>
        <v/>
      </c>
      <c r="H434" s="7" t="n"/>
      <c r="I434" s="7">
        <f>IF(OR(H434="",F434=""),"",H434-F434)</f>
        <v/>
      </c>
      <c r="J434">
        <f>IF(I434="","",IF(I434&lt;=0,"BREACH",IF(I434&lt;=500,"WARNING","OK")))</f>
        <v/>
      </c>
    </row>
    <row r="435">
      <c r="B435" s="7" t="n"/>
      <c r="C435" s="7" t="n"/>
      <c r="D435" s="7">
        <f>IF(OR(B435="",C435=""),"",B435+C435)</f>
        <v/>
      </c>
      <c r="E435" s="7">
        <f>IF(D435="","",MAX($D$2:D435))</f>
        <v/>
      </c>
      <c r="F435" s="7">
        <f>IF(OR(E435="",D435=""),"",E435-D435)</f>
        <v/>
      </c>
      <c r="G435" s="8">
        <f>IF(OR(E435="",F435="",E435=0),"",F435/E435)</f>
        <v/>
      </c>
      <c r="H435" s="7" t="n"/>
      <c r="I435" s="7">
        <f>IF(OR(H435="",F435=""),"",H435-F435)</f>
        <v/>
      </c>
      <c r="J435">
        <f>IF(I435="","",IF(I435&lt;=0,"BREACH",IF(I435&lt;=500,"WARNING","OK")))</f>
        <v/>
      </c>
    </row>
    <row r="436">
      <c r="B436" s="7" t="n"/>
      <c r="C436" s="7" t="n"/>
      <c r="D436" s="7">
        <f>IF(OR(B436="",C436=""),"",B436+C436)</f>
        <v/>
      </c>
      <c r="E436" s="7">
        <f>IF(D436="","",MAX($D$2:D436))</f>
        <v/>
      </c>
      <c r="F436" s="7">
        <f>IF(OR(E436="",D436=""),"",E436-D436)</f>
        <v/>
      </c>
      <c r="G436" s="8">
        <f>IF(OR(E436="",F436="",E436=0),"",F436/E436)</f>
        <v/>
      </c>
      <c r="H436" s="7" t="n"/>
      <c r="I436" s="7">
        <f>IF(OR(H436="",F436=""),"",H436-F436)</f>
        <v/>
      </c>
      <c r="J436">
        <f>IF(I436="","",IF(I436&lt;=0,"BREACH",IF(I436&lt;=500,"WARNING","OK")))</f>
        <v/>
      </c>
    </row>
    <row r="437">
      <c r="B437" s="7" t="n"/>
      <c r="C437" s="7" t="n"/>
      <c r="D437" s="7">
        <f>IF(OR(B437="",C437=""),"",B437+C437)</f>
        <v/>
      </c>
      <c r="E437" s="7">
        <f>IF(D437="","",MAX($D$2:D437))</f>
        <v/>
      </c>
      <c r="F437" s="7">
        <f>IF(OR(E437="",D437=""),"",E437-D437)</f>
        <v/>
      </c>
      <c r="G437" s="8">
        <f>IF(OR(E437="",F437="",E437=0),"",F437/E437)</f>
        <v/>
      </c>
      <c r="H437" s="7" t="n"/>
      <c r="I437" s="7">
        <f>IF(OR(H437="",F437=""),"",H437-F437)</f>
        <v/>
      </c>
      <c r="J437">
        <f>IF(I437="","",IF(I437&lt;=0,"BREACH",IF(I437&lt;=500,"WARNING","OK")))</f>
        <v/>
      </c>
    </row>
    <row r="438">
      <c r="B438" s="7" t="n"/>
      <c r="C438" s="7" t="n"/>
      <c r="D438" s="7">
        <f>IF(OR(B438="",C438=""),"",B438+C438)</f>
        <v/>
      </c>
      <c r="E438" s="7">
        <f>IF(D438="","",MAX($D$2:D438))</f>
        <v/>
      </c>
      <c r="F438" s="7">
        <f>IF(OR(E438="",D438=""),"",E438-D438)</f>
        <v/>
      </c>
      <c r="G438" s="8">
        <f>IF(OR(E438="",F438="",E438=0),"",F438/E438)</f>
        <v/>
      </c>
      <c r="H438" s="7" t="n"/>
      <c r="I438" s="7">
        <f>IF(OR(H438="",F438=""),"",H438-F438)</f>
        <v/>
      </c>
      <c r="J438">
        <f>IF(I438="","",IF(I438&lt;=0,"BREACH",IF(I438&lt;=500,"WARNING","OK")))</f>
        <v/>
      </c>
    </row>
    <row r="439">
      <c r="B439" s="7" t="n"/>
      <c r="C439" s="7" t="n"/>
      <c r="D439" s="7">
        <f>IF(OR(B439="",C439=""),"",B439+C439)</f>
        <v/>
      </c>
      <c r="E439" s="7">
        <f>IF(D439="","",MAX($D$2:D439))</f>
        <v/>
      </c>
      <c r="F439" s="7">
        <f>IF(OR(E439="",D439=""),"",E439-D439)</f>
        <v/>
      </c>
      <c r="G439" s="8">
        <f>IF(OR(E439="",F439="",E439=0),"",F439/E439)</f>
        <v/>
      </c>
      <c r="H439" s="7" t="n"/>
      <c r="I439" s="7">
        <f>IF(OR(H439="",F439=""),"",H439-F439)</f>
        <v/>
      </c>
      <c r="J439">
        <f>IF(I439="","",IF(I439&lt;=0,"BREACH",IF(I439&lt;=500,"WARNING","OK")))</f>
        <v/>
      </c>
    </row>
    <row r="440">
      <c r="B440" s="7" t="n"/>
      <c r="C440" s="7" t="n"/>
      <c r="D440" s="7">
        <f>IF(OR(B440="",C440=""),"",B440+C440)</f>
        <v/>
      </c>
      <c r="E440" s="7">
        <f>IF(D440="","",MAX($D$2:D440))</f>
        <v/>
      </c>
      <c r="F440" s="7">
        <f>IF(OR(E440="",D440=""),"",E440-D440)</f>
        <v/>
      </c>
      <c r="G440" s="8">
        <f>IF(OR(E440="",F440="",E440=0),"",F440/E440)</f>
        <v/>
      </c>
      <c r="H440" s="7" t="n"/>
      <c r="I440" s="7">
        <f>IF(OR(H440="",F440=""),"",H440-F440)</f>
        <v/>
      </c>
      <c r="J440">
        <f>IF(I440="","",IF(I440&lt;=0,"BREACH",IF(I440&lt;=500,"WARNING","OK")))</f>
        <v/>
      </c>
    </row>
    <row r="441">
      <c r="B441" s="7" t="n"/>
      <c r="C441" s="7" t="n"/>
      <c r="D441" s="7">
        <f>IF(OR(B441="",C441=""),"",B441+C441)</f>
        <v/>
      </c>
      <c r="E441" s="7">
        <f>IF(D441="","",MAX($D$2:D441))</f>
        <v/>
      </c>
      <c r="F441" s="7">
        <f>IF(OR(E441="",D441=""),"",E441-D441)</f>
        <v/>
      </c>
      <c r="G441" s="8">
        <f>IF(OR(E441="",F441="",E441=0),"",F441/E441)</f>
        <v/>
      </c>
      <c r="H441" s="7" t="n"/>
      <c r="I441" s="7">
        <f>IF(OR(H441="",F441=""),"",H441-F441)</f>
        <v/>
      </c>
      <c r="J441">
        <f>IF(I441="","",IF(I441&lt;=0,"BREACH",IF(I441&lt;=500,"WARNING","OK")))</f>
        <v/>
      </c>
    </row>
    <row r="442">
      <c r="B442" s="7" t="n"/>
      <c r="C442" s="7" t="n"/>
      <c r="D442" s="7">
        <f>IF(OR(B442="",C442=""),"",B442+C442)</f>
        <v/>
      </c>
      <c r="E442" s="7">
        <f>IF(D442="","",MAX($D$2:D442))</f>
        <v/>
      </c>
      <c r="F442" s="7">
        <f>IF(OR(E442="",D442=""),"",E442-D442)</f>
        <v/>
      </c>
      <c r="G442" s="8">
        <f>IF(OR(E442="",F442="",E442=0),"",F442/E442)</f>
        <v/>
      </c>
      <c r="H442" s="7" t="n"/>
      <c r="I442" s="7">
        <f>IF(OR(H442="",F442=""),"",H442-F442)</f>
        <v/>
      </c>
      <c r="J442">
        <f>IF(I442="","",IF(I442&lt;=0,"BREACH",IF(I442&lt;=500,"WARNING","OK")))</f>
        <v/>
      </c>
    </row>
    <row r="443">
      <c r="B443" s="7" t="n"/>
      <c r="C443" s="7" t="n"/>
      <c r="D443" s="7">
        <f>IF(OR(B443="",C443=""),"",B443+C443)</f>
        <v/>
      </c>
      <c r="E443" s="7">
        <f>IF(D443="","",MAX($D$2:D443))</f>
        <v/>
      </c>
      <c r="F443" s="7">
        <f>IF(OR(E443="",D443=""),"",E443-D443)</f>
        <v/>
      </c>
      <c r="G443" s="8">
        <f>IF(OR(E443="",F443="",E443=0),"",F443/E443)</f>
        <v/>
      </c>
      <c r="H443" s="7" t="n"/>
      <c r="I443" s="7">
        <f>IF(OR(H443="",F443=""),"",H443-F443)</f>
        <v/>
      </c>
      <c r="J443">
        <f>IF(I443="","",IF(I443&lt;=0,"BREACH",IF(I443&lt;=500,"WARNING","OK")))</f>
        <v/>
      </c>
    </row>
    <row r="444">
      <c r="B444" s="7" t="n"/>
      <c r="C444" s="7" t="n"/>
      <c r="D444" s="7">
        <f>IF(OR(B444="",C444=""),"",B444+C444)</f>
        <v/>
      </c>
      <c r="E444" s="7">
        <f>IF(D444="","",MAX($D$2:D444))</f>
        <v/>
      </c>
      <c r="F444" s="7">
        <f>IF(OR(E444="",D444=""),"",E444-D444)</f>
        <v/>
      </c>
      <c r="G444" s="8">
        <f>IF(OR(E444="",F444="",E444=0),"",F444/E444)</f>
        <v/>
      </c>
      <c r="H444" s="7" t="n"/>
      <c r="I444" s="7">
        <f>IF(OR(H444="",F444=""),"",H444-F444)</f>
        <v/>
      </c>
      <c r="J444">
        <f>IF(I444="","",IF(I444&lt;=0,"BREACH",IF(I444&lt;=500,"WARNING","OK")))</f>
        <v/>
      </c>
    </row>
    <row r="445">
      <c r="B445" s="7" t="n"/>
      <c r="C445" s="7" t="n"/>
      <c r="D445" s="7">
        <f>IF(OR(B445="",C445=""),"",B445+C445)</f>
        <v/>
      </c>
      <c r="E445" s="7">
        <f>IF(D445="","",MAX($D$2:D445))</f>
        <v/>
      </c>
      <c r="F445" s="7">
        <f>IF(OR(E445="",D445=""),"",E445-D445)</f>
        <v/>
      </c>
      <c r="G445" s="8">
        <f>IF(OR(E445="",F445="",E445=0),"",F445/E445)</f>
        <v/>
      </c>
      <c r="H445" s="7" t="n"/>
      <c r="I445" s="7">
        <f>IF(OR(H445="",F445=""),"",H445-F445)</f>
        <v/>
      </c>
      <c r="J445">
        <f>IF(I445="","",IF(I445&lt;=0,"BREACH",IF(I445&lt;=500,"WARNING","OK")))</f>
        <v/>
      </c>
    </row>
    <row r="446">
      <c r="B446" s="7" t="n"/>
      <c r="C446" s="7" t="n"/>
      <c r="D446" s="7">
        <f>IF(OR(B446="",C446=""),"",B446+C446)</f>
        <v/>
      </c>
      <c r="E446" s="7">
        <f>IF(D446="","",MAX($D$2:D446))</f>
        <v/>
      </c>
      <c r="F446" s="7">
        <f>IF(OR(E446="",D446=""),"",E446-D446)</f>
        <v/>
      </c>
      <c r="G446" s="8">
        <f>IF(OR(E446="",F446="",E446=0),"",F446/E446)</f>
        <v/>
      </c>
      <c r="H446" s="7" t="n"/>
      <c r="I446" s="7">
        <f>IF(OR(H446="",F446=""),"",H446-F446)</f>
        <v/>
      </c>
      <c r="J446">
        <f>IF(I446="","",IF(I446&lt;=0,"BREACH",IF(I446&lt;=500,"WARNING","OK")))</f>
        <v/>
      </c>
    </row>
    <row r="447">
      <c r="B447" s="7" t="n"/>
      <c r="C447" s="7" t="n"/>
      <c r="D447" s="7">
        <f>IF(OR(B447="",C447=""),"",B447+C447)</f>
        <v/>
      </c>
      <c r="E447" s="7">
        <f>IF(D447="","",MAX($D$2:D447))</f>
        <v/>
      </c>
      <c r="F447" s="7">
        <f>IF(OR(E447="",D447=""),"",E447-D447)</f>
        <v/>
      </c>
      <c r="G447" s="8">
        <f>IF(OR(E447="",F447="",E447=0),"",F447/E447)</f>
        <v/>
      </c>
      <c r="H447" s="7" t="n"/>
      <c r="I447" s="7">
        <f>IF(OR(H447="",F447=""),"",H447-F447)</f>
        <v/>
      </c>
      <c r="J447">
        <f>IF(I447="","",IF(I447&lt;=0,"BREACH",IF(I447&lt;=500,"WARNING","OK")))</f>
        <v/>
      </c>
    </row>
    <row r="448">
      <c r="B448" s="7" t="n"/>
      <c r="C448" s="7" t="n"/>
      <c r="D448" s="7">
        <f>IF(OR(B448="",C448=""),"",B448+C448)</f>
        <v/>
      </c>
      <c r="E448" s="7">
        <f>IF(D448="","",MAX($D$2:D448))</f>
        <v/>
      </c>
      <c r="F448" s="7">
        <f>IF(OR(E448="",D448=""),"",E448-D448)</f>
        <v/>
      </c>
      <c r="G448" s="8">
        <f>IF(OR(E448="",F448="",E448=0),"",F448/E448)</f>
        <v/>
      </c>
      <c r="H448" s="7" t="n"/>
      <c r="I448" s="7">
        <f>IF(OR(H448="",F448=""),"",H448-F448)</f>
        <v/>
      </c>
      <c r="J448">
        <f>IF(I448="","",IF(I448&lt;=0,"BREACH",IF(I448&lt;=500,"WARNING","OK")))</f>
        <v/>
      </c>
    </row>
    <row r="449">
      <c r="B449" s="7" t="n"/>
      <c r="C449" s="7" t="n"/>
      <c r="D449" s="7">
        <f>IF(OR(B449="",C449=""),"",B449+C449)</f>
        <v/>
      </c>
      <c r="E449" s="7">
        <f>IF(D449="","",MAX($D$2:D449))</f>
        <v/>
      </c>
      <c r="F449" s="7">
        <f>IF(OR(E449="",D449=""),"",E449-D449)</f>
        <v/>
      </c>
      <c r="G449" s="8">
        <f>IF(OR(E449="",F449="",E449=0),"",F449/E449)</f>
        <v/>
      </c>
      <c r="H449" s="7" t="n"/>
      <c r="I449" s="7">
        <f>IF(OR(H449="",F449=""),"",H449-F449)</f>
        <v/>
      </c>
      <c r="J449">
        <f>IF(I449="","",IF(I449&lt;=0,"BREACH",IF(I449&lt;=500,"WARNING","OK")))</f>
        <v/>
      </c>
    </row>
    <row r="450">
      <c r="B450" s="7" t="n"/>
      <c r="C450" s="7" t="n"/>
      <c r="D450" s="7">
        <f>IF(OR(B450="",C450=""),"",B450+C450)</f>
        <v/>
      </c>
      <c r="E450" s="7">
        <f>IF(D450="","",MAX($D$2:D450))</f>
        <v/>
      </c>
      <c r="F450" s="7">
        <f>IF(OR(E450="",D450=""),"",E450-D450)</f>
        <v/>
      </c>
      <c r="G450" s="8">
        <f>IF(OR(E450="",F450="",E450=0),"",F450/E450)</f>
        <v/>
      </c>
      <c r="H450" s="7" t="n"/>
      <c r="I450" s="7">
        <f>IF(OR(H450="",F450=""),"",H450-F450)</f>
        <v/>
      </c>
      <c r="J450">
        <f>IF(I450="","",IF(I450&lt;=0,"BREACH",IF(I450&lt;=500,"WARNING","OK")))</f>
        <v/>
      </c>
    </row>
    <row r="451">
      <c r="B451" s="7" t="n"/>
      <c r="C451" s="7" t="n"/>
      <c r="D451" s="7">
        <f>IF(OR(B451="",C451=""),"",B451+C451)</f>
        <v/>
      </c>
      <c r="E451" s="7">
        <f>IF(D451="","",MAX($D$2:D451))</f>
        <v/>
      </c>
      <c r="F451" s="7">
        <f>IF(OR(E451="",D451=""),"",E451-D451)</f>
        <v/>
      </c>
      <c r="G451" s="8">
        <f>IF(OR(E451="",F451="",E451=0),"",F451/E451)</f>
        <v/>
      </c>
      <c r="H451" s="7" t="n"/>
      <c r="I451" s="7">
        <f>IF(OR(H451="",F451=""),"",H451-F451)</f>
        <v/>
      </c>
      <c r="J451">
        <f>IF(I451="","",IF(I451&lt;=0,"BREACH",IF(I451&lt;=500,"WARNING","OK")))</f>
        <v/>
      </c>
    </row>
    <row r="452">
      <c r="B452" s="7" t="n"/>
      <c r="C452" s="7" t="n"/>
      <c r="D452" s="7">
        <f>IF(OR(B452="",C452=""),"",B452+C452)</f>
        <v/>
      </c>
      <c r="E452" s="7">
        <f>IF(D452="","",MAX($D$2:D452))</f>
        <v/>
      </c>
      <c r="F452" s="7">
        <f>IF(OR(E452="",D452=""),"",E452-D452)</f>
        <v/>
      </c>
      <c r="G452" s="8">
        <f>IF(OR(E452="",F452="",E452=0),"",F452/E452)</f>
        <v/>
      </c>
      <c r="H452" s="7" t="n"/>
      <c r="I452" s="7">
        <f>IF(OR(H452="",F452=""),"",H452-F452)</f>
        <v/>
      </c>
      <c r="J452">
        <f>IF(I452="","",IF(I452&lt;=0,"BREACH",IF(I452&lt;=500,"WARNING","OK")))</f>
        <v/>
      </c>
    </row>
    <row r="453">
      <c r="B453" s="7" t="n"/>
      <c r="C453" s="7" t="n"/>
      <c r="D453" s="7">
        <f>IF(OR(B453="",C453=""),"",B453+C453)</f>
        <v/>
      </c>
      <c r="E453" s="7">
        <f>IF(D453="","",MAX($D$2:D453))</f>
        <v/>
      </c>
      <c r="F453" s="7">
        <f>IF(OR(E453="",D453=""),"",E453-D453)</f>
        <v/>
      </c>
      <c r="G453" s="8">
        <f>IF(OR(E453="",F453="",E453=0),"",F453/E453)</f>
        <v/>
      </c>
      <c r="H453" s="7" t="n"/>
      <c r="I453" s="7">
        <f>IF(OR(H453="",F453=""),"",H453-F453)</f>
        <v/>
      </c>
      <c r="J453">
        <f>IF(I453="","",IF(I453&lt;=0,"BREACH",IF(I453&lt;=500,"WARNING","OK")))</f>
        <v/>
      </c>
    </row>
    <row r="454">
      <c r="B454" s="7" t="n"/>
      <c r="C454" s="7" t="n"/>
      <c r="D454" s="7">
        <f>IF(OR(B454="",C454=""),"",B454+C454)</f>
        <v/>
      </c>
      <c r="E454" s="7">
        <f>IF(D454="","",MAX($D$2:D454))</f>
        <v/>
      </c>
      <c r="F454" s="7">
        <f>IF(OR(E454="",D454=""),"",E454-D454)</f>
        <v/>
      </c>
      <c r="G454" s="8">
        <f>IF(OR(E454="",F454="",E454=0),"",F454/E454)</f>
        <v/>
      </c>
      <c r="H454" s="7" t="n"/>
      <c r="I454" s="7">
        <f>IF(OR(H454="",F454=""),"",H454-F454)</f>
        <v/>
      </c>
      <c r="J454">
        <f>IF(I454="","",IF(I454&lt;=0,"BREACH",IF(I454&lt;=500,"WARNING","OK")))</f>
        <v/>
      </c>
    </row>
    <row r="455">
      <c r="B455" s="7" t="n"/>
      <c r="C455" s="7" t="n"/>
      <c r="D455" s="7">
        <f>IF(OR(B455="",C455=""),"",B455+C455)</f>
        <v/>
      </c>
      <c r="E455" s="7">
        <f>IF(D455="","",MAX($D$2:D455))</f>
        <v/>
      </c>
      <c r="F455" s="7">
        <f>IF(OR(E455="",D455=""),"",E455-D455)</f>
        <v/>
      </c>
      <c r="G455" s="8">
        <f>IF(OR(E455="",F455="",E455=0),"",F455/E455)</f>
        <v/>
      </c>
      <c r="H455" s="7" t="n"/>
      <c r="I455" s="7">
        <f>IF(OR(H455="",F455=""),"",H455-F455)</f>
        <v/>
      </c>
      <c r="J455">
        <f>IF(I455="","",IF(I455&lt;=0,"BREACH",IF(I455&lt;=500,"WARNING","OK")))</f>
        <v/>
      </c>
    </row>
    <row r="456">
      <c r="B456" s="7" t="n"/>
      <c r="C456" s="7" t="n"/>
      <c r="D456" s="7">
        <f>IF(OR(B456="",C456=""),"",B456+C456)</f>
        <v/>
      </c>
      <c r="E456" s="7">
        <f>IF(D456="","",MAX($D$2:D456))</f>
        <v/>
      </c>
      <c r="F456" s="7">
        <f>IF(OR(E456="",D456=""),"",E456-D456)</f>
        <v/>
      </c>
      <c r="G456" s="8">
        <f>IF(OR(E456="",F456="",E456=0),"",F456/E456)</f>
        <v/>
      </c>
      <c r="H456" s="7" t="n"/>
      <c r="I456" s="7">
        <f>IF(OR(H456="",F456=""),"",H456-F456)</f>
        <v/>
      </c>
      <c r="J456">
        <f>IF(I456="","",IF(I456&lt;=0,"BREACH",IF(I456&lt;=500,"WARNING","OK")))</f>
        <v/>
      </c>
    </row>
    <row r="457">
      <c r="B457" s="7" t="n"/>
      <c r="C457" s="7" t="n"/>
      <c r="D457" s="7">
        <f>IF(OR(B457="",C457=""),"",B457+C457)</f>
        <v/>
      </c>
      <c r="E457" s="7">
        <f>IF(D457="","",MAX($D$2:D457))</f>
        <v/>
      </c>
      <c r="F457" s="7">
        <f>IF(OR(E457="",D457=""),"",E457-D457)</f>
        <v/>
      </c>
      <c r="G457" s="8">
        <f>IF(OR(E457="",F457="",E457=0),"",F457/E457)</f>
        <v/>
      </c>
      <c r="H457" s="7" t="n"/>
      <c r="I457" s="7">
        <f>IF(OR(H457="",F457=""),"",H457-F457)</f>
        <v/>
      </c>
      <c r="J457">
        <f>IF(I457="","",IF(I457&lt;=0,"BREACH",IF(I457&lt;=500,"WARNING","OK")))</f>
        <v/>
      </c>
    </row>
    <row r="458">
      <c r="B458" s="7" t="n"/>
      <c r="C458" s="7" t="n"/>
      <c r="D458" s="7">
        <f>IF(OR(B458="",C458=""),"",B458+C458)</f>
        <v/>
      </c>
      <c r="E458" s="7">
        <f>IF(D458="","",MAX($D$2:D458))</f>
        <v/>
      </c>
      <c r="F458" s="7">
        <f>IF(OR(E458="",D458=""),"",E458-D458)</f>
        <v/>
      </c>
      <c r="G458" s="8">
        <f>IF(OR(E458="",F458="",E458=0),"",F458/E458)</f>
        <v/>
      </c>
      <c r="H458" s="7" t="n"/>
      <c r="I458" s="7">
        <f>IF(OR(H458="",F458=""),"",H458-F458)</f>
        <v/>
      </c>
      <c r="J458">
        <f>IF(I458="","",IF(I458&lt;=0,"BREACH",IF(I458&lt;=500,"WARNING","OK")))</f>
        <v/>
      </c>
    </row>
    <row r="459">
      <c r="B459" s="7" t="n"/>
      <c r="C459" s="7" t="n"/>
      <c r="D459" s="7">
        <f>IF(OR(B459="",C459=""),"",B459+C459)</f>
        <v/>
      </c>
      <c r="E459" s="7">
        <f>IF(D459="","",MAX($D$2:D459))</f>
        <v/>
      </c>
      <c r="F459" s="7">
        <f>IF(OR(E459="",D459=""),"",E459-D459)</f>
        <v/>
      </c>
      <c r="G459" s="8">
        <f>IF(OR(E459="",F459="",E459=0),"",F459/E459)</f>
        <v/>
      </c>
      <c r="H459" s="7" t="n"/>
      <c r="I459" s="7">
        <f>IF(OR(H459="",F459=""),"",H459-F459)</f>
        <v/>
      </c>
      <c r="J459">
        <f>IF(I459="","",IF(I459&lt;=0,"BREACH",IF(I459&lt;=500,"WARNING","OK")))</f>
        <v/>
      </c>
    </row>
    <row r="460">
      <c r="B460" s="7" t="n"/>
      <c r="C460" s="7" t="n"/>
      <c r="D460" s="7">
        <f>IF(OR(B460="",C460=""),"",B460+C460)</f>
        <v/>
      </c>
      <c r="E460" s="7">
        <f>IF(D460="","",MAX($D$2:D460))</f>
        <v/>
      </c>
      <c r="F460" s="7">
        <f>IF(OR(E460="",D460=""),"",E460-D460)</f>
        <v/>
      </c>
      <c r="G460" s="8">
        <f>IF(OR(E460="",F460="",E460=0),"",F460/E460)</f>
        <v/>
      </c>
      <c r="H460" s="7" t="n"/>
      <c r="I460" s="7">
        <f>IF(OR(H460="",F460=""),"",H460-F460)</f>
        <v/>
      </c>
      <c r="J460">
        <f>IF(I460="","",IF(I460&lt;=0,"BREACH",IF(I460&lt;=500,"WARNING","OK")))</f>
        <v/>
      </c>
    </row>
    <row r="461">
      <c r="B461" s="7" t="n"/>
      <c r="C461" s="7" t="n"/>
      <c r="D461" s="7">
        <f>IF(OR(B461="",C461=""),"",B461+C461)</f>
        <v/>
      </c>
      <c r="E461" s="7">
        <f>IF(D461="","",MAX($D$2:D461))</f>
        <v/>
      </c>
      <c r="F461" s="7">
        <f>IF(OR(E461="",D461=""),"",E461-D461)</f>
        <v/>
      </c>
      <c r="G461" s="8">
        <f>IF(OR(E461="",F461="",E461=0),"",F461/E461)</f>
        <v/>
      </c>
      <c r="H461" s="7" t="n"/>
      <c r="I461" s="7">
        <f>IF(OR(H461="",F461=""),"",H461-F461)</f>
        <v/>
      </c>
      <c r="J461">
        <f>IF(I461="","",IF(I461&lt;=0,"BREACH",IF(I461&lt;=500,"WARNING","OK")))</f>
        <v/>
      </c>
    </row>
    <row r="462">
      <c r="B462" s="7" t="n"/>
      <c r="C462" s="7" t="n"/>
      <c r="D462" s="7">
        <f>IF(OR(B462="",C462=""),"",B462+C462)</f>
        <v/>
      </c>
      <c r="E462" s="7">
        <f>IF(D462="","",MAX($D$2:D462))</f>
        <v/>
      </c>
      <c r="F462" s="7">
        <f>IF(OR(E462="",D462=""),"",E462-D462)</f>
        <v/>
      </c>
      <c r="G462" s="8">
        <f>IF(OR(E462="",F462="",E462=0),"",F462/E462)</f>
        <v/>
      </c>
      <c r="H462" s="7" t="n"/>
      <c r="I462" s="7">
        <f>IF(OR(H462="",F462=""),"",H462-F462)</f>
        <v/>
      </c>
      <c r="J462">
        <f>IF(I462="","",IF(I462&lt;=0,"BREACH",IF(I462&lt;=500,"WARNING","OK")))</f>
        <v/>
      </c>
    </row>
    <row r="463">
      <c r="B463" s="7" t="n"/>
      <c r="C463" s="7" t="n"/>
      <c r="D463" s="7">
        <f>IF(OR(B463="",C463=""),"",B463+C463)</f>
        <v/>
      </c>
      <c r="E463" s="7">
        <f>IF(D463="","",MAX($D$2:D463))</f>
        <v/>
      </c>
      <c r="F463" s="7">
        <f>IF(OR(E463="",D463=""),"",E463-D463)</f>
        <v/>
      </c>
      <c r="G463" s="8">
        <f>IF(OR(E463="",F463="",E463=0),"",F463/E463)</f>
        <v/>
      </c>
      <c r="H463" s="7" t="n"/>
      <c r="I463" s="7">
        <f>IF(OR(H463="",F463=""),"",H463-F463)</f>
        <v/>
      </c>
      <c r="J463">
        <f>IF(I463="","",IF(I463&lt;=0,"BREACH",IF(I463&lt;=500,"WARNING","OK")))</f>
        <v/>
      </c>
    </row>
    <row r="464">
      <c r="B464" s="7" t="n"/>
      <c r="C464" s="7" t="n"/>
      <c r="D464" s="7">
        <f>IF(OR(B464="",C464=""),"",B464+C464)</f>
        <v/>
      </c>
      <c r="E464" s="7">
        <f>IF(D464="","",MAX($D$2:D464))</f>
        <v/>
      </c>
      <c r="F464" s="7">
        <f>IF(OR(E464="",D464=""),"",E464-D464)</f>
        <v/>
      </c>
      <c r="G464" s="8">
        <f>IF(OR(E464="",F464="",E464=0),"",F464/E464)</f>
        <v/>
      </c>
      <c r="H464" s="7" t="n"/>
      <c r="I464" s="7">
        <f>IF(OR(H464="",F464=""),"",H464-F464)</f>
        <v/>
      </c>
      <c r="J464">
        <f>IF(I464="","",IF(I464&lt;=0,"BREACH",IF(I464&lt;=500,"WARNING","OK")))</f>
        <v/>
      </c>
    </row>
    <row r="465">
      <c r="B465" s="7" t="n"/>
      <c r="C465" s="7" t="n"/>
      <c r="D465" s="7">
        <f>IF(OR(B465="",C465=""),"",B465+C465)</f>
        <v/>
      </c>
      <c r="E465" s="7">
        <f>IF(D465="","",MAX($D$2:D465))</f>
        <v/>
      </c>
      <c r="F465" s="7">
        <f>IF(OR(E465="",D465=""),"",E465-D465)</f>
        <v/>
      </c>
      <c r="G465" s="8">
        <f>IF(OR(E465="",F465="",E465=0),"",F465/E465)</f>
        <v/>
      </c>
      <c r="H465" s="7" t="n"/>
      <c r="I465" s="7">
        <f>IF(OR(H465="",F465=""),"",H465-F465)</f>
        <v/>
      </c>
      <c r="J465">
        <f>IF(I465="","",IF(I465&lt;=0,"BREACH",IF(I465&lt;=500,"WARNING","OK")))</f>
        <v/>
      </c>
    </row>
    <row r="466">
      <c r="B466" s="7" t="n"/>
      <c r="C466" s="7" t="n"/>
      <c r="D466" s="7">
        <f>IF(OR(B466="",C466=""),"",B466+C466)</f>
        <v/>
      </c>
      <c r="E466" s="7">
        <f>IF(D466="","",MAX($D$2:D466))</f>
        <v/>
      </c>
      <c r="F466" s="7">
        <f>IF(OR(E466="",D466=""),"",E466-D466)</f>
        <v/>
      </c>
      <c r="G466" s="8">
        <f>IF(OR(E466="",F466="",E466=0),"",F466/E466)</f>
        <v/>
      </c>
      <c r="H466" s="7" t="n"/>
      <c r="I466" s="7">
        <f>IF(OR(H466="",F466=""),"",H466-F466)</f>
        <v/>
      </c>
      <c r="J466">
        <f>IF(I466="","",IF(I466&lt;=0,"BREACH",IF(I466&lt;=500,"WARNING","OK")))</f>
        <v/>
      </c>
    </row>
    <row r="467">
      <c r="B467" s="7" t="n"/>
      <c r="C467" s="7" t="n"/>
      <c r="D467" s="7">
        <f>IF(OR(B467="",C467=""),"",B467+C467)</f>
        <v/>
      </c>
      <c r="E467" s="7">
        <f>IF(D467="","",MAX($D$2:D467))</f>
        <v/>
      </c>
      <c r="F467" s="7">
        <f>IF(OR(E467="",D467=""),"",E467-D467)</f>
        <v/>
      </c>
      <c r="G467" s="8">
        <f>IF(OR(E467="",F467="",E467=0),"",F467/E467)</f>
        <v/>
      </c>
      <c r="H467" s="7" t="n"/>
      <c r="I467" s="7">
        <f>IF(OR(H467="",F467=""),"",H467-F467)</f>
        <v/>
      </c>
      <c r="J467">
        <f>IF(I467="","",IF(I467&lt;=0,"BREACH",IF(I467&lt;=500,"WARNING","OK")))</f>
        <v/>
      </c>
    </row>
    <row r="468">
      <c r="B468" s="7" t="n"/>
      <c r="C468" s="7" t="n"/>
      <c r="D468" s="7">
        <f>IF(OR(B468="",C468=""),"",B468+C468)</f>
        <v/>
      </c>
      <c r="E468" s="7">
        <f>IF(D468="","",MAX($D$2:D468))</f>
        <v/>
      </c>
      <c r="F468" s="7">
        <f>IF(OR(E468="",D468=""),"",E468-D468)</f>
        <v/>
      </c>
      <c r="G468" s="8">
        <f>IF(OR(E468="",F468="",E468=0),"",F468/E468)</f>
        <v/>
      </c>
      <c r="H468" s="7" t="n"/>
      <c r="I468" s="7">
        <f>IF(OR(H468="",F468=""),"",H468-F468)</f>
        <v/>
      </c>
      <c r="J468">
        <f>IF(I468="","",IF(I468&lt;=0,"BREACH",IF(I468&lt;=500,"WARNING","OK")))</f>
        <v/>
      </c>
    </row>
    <row r="469">
      <c r="B469" s="7" t="n"/>
      <c r="C469" s="7" t="n"/>
      <c r="D469" s="7">
        <f>IF(OR(B469="",C469=""),"",B469+C469)</f>
        <v/>
      </c>
      <c r="E469" s="7">
        <f>IF(D469="","",MAX($D$2:D469))</f>
        <v/>
      </c>
      <c r="F469" s="7">
        <f>IF(OR(E469="",D469=""),"",E469-D469)</f>
        <v/>
      </c>
      <c r="G469" s="8">
        <f>IF(OR(E469="",F469="",E469=0),"",F469/E469)</f>
        <v/>
      </c>
      <c r="H469" s="7" t="n"/>
      <c r="I469" s="7">
        <f>IF(OR(H469="",F469=""),"",H469-F469)</f>
        <v/>
      </c>
      <c r="J469">
        <f>IF(I469="","",IF(I469&lt;=0,"BREACH",IF(I469&lt;=500,"WARNING","OK")))</f>
        <v/>
      </c>
    </row>
    <row r="470">
      <c r="B470" s="7" t="n"/>
      <c r="C470" s="7" t="n"/>
      <c r="D470" s="7">
        <f>IF(OR(B470="",C470=""),"",B470+C470)</f>
        <v/>
      </c>
      <c r="E470" s="7">
        <f>IF(D470="","",MAX($D$2:D470))</f>
        <v/>
      </c>
      <c r="F470" s="7">
        <f>IF(OR(E470="",D470=""),"",E470-D470)</f>
        <v/>
      </c>
      <c r="G470" s="8">
        <f>IF(OR(E470="",F470="",E470=0),"",F470/E470)</f>
        <v/>
      </c>
      <c r="H470" s="7" t="n"/>
      <c r="I470" s="7">
        <f>IF(OR(H470="",F470=""),"",H470-F470)</f>
        <v/>
      </c>
      <c r="J470">
        <f>IF(I470="","",IF(I470&lt;=0,"BREACH",IF(I470&lt;=500,"WARNING","OK")))</f>
        <v/>
      </c>
    </row>
    <row r="471">
      <c r="B471" s="7" t="n"/>
      <c r="C471" s="7" t="n"/>
      <c r="D471" s="7">
        <f>IF(OR(B471="",C471=""),"",B471+C471)</f>
        <v/>
      </c>
      <c r="E471" s="7">
        <f>IF(D471="","",MAX($D$2:D471))</f>
        <v/>
      </c>
      <c r="F471" s="7">
        <f>IF(OR(E471="",D471=""),"",E471-D471)</f>
        <v/>
      </c>
      <c r="G471" s="8">
        <f>IF(OR(E471="",F471="",E471=0),"",F471/E471)</f>
        <v/>
      </c>
      <c r="H471" s="7" t="n"/>
      <c r="I471" s="7">
        <f>IF(OR(H471="",F471=""),"",H471-F471)</f>
        <v/>
      </c>
      <c r="J471">
        <f>IF(I471="","",IF(I471&lt;=0,"BREACH",IF(I471&lt;=500,"WARNING","OK")))</f>
        <v/>
      </c>
    </row>
    <row r="472">
      <c r="B472" s="7" t="n"/>
      <c r="C472" s="7" t="n"/>
      <c r="D472" s="7">
        <f>IF(OR(B472="",C472=""),"",B472+C472)</f>
        <v/>
      </c>
      <c r="E472" s="7">
        <f>IF(D472="","",MAX($D$2:D472))</f>
        <v/>
      </c>
      <c r="F472" s="7">
        <f>IF(OR(E472="",D472=""),"",E472-D472)</f>
        <v/>
      </c>
      <c r="G472" s="8">
        <f>IF(OR(E472="",F472="",E472=0),"",F472/E472)</f>
        <v/>
      </c>
      <c r="H472" s="7" t="n"/>
      <c r="I472" s="7">
        <f>IF(OR(H472="",F472=""),"",H472-F472)</f>
        <v/>
      </c>
      <c r="J472">
        <f>IF(I472="","",IF(I472&lt;=0,"BREACH",IF(I472&lt;=500,"WARNING","OK")))</f>
        <v/>
      </c>
    </row>
    <row r="473">
      <c r="B473" s="7" t="n"/>
      <c r="C473" s="7" t="n"/>
      <c r="D473" s="7">
        <f>IF(OR(B473="",C473=""),"",B473+C473)</f>
        <v/>
      </c>
      <c r="E473" s="7">
        <f>IF(D473="","",MAX($D$2:D473))</f>
        <v/>
      </c>
      <c r="F473" s="7">
        <f>IF(OR(E473="",D473=""),"",E473-D473)</f>
        <v/>
      </c>
      <c r="G473" s="8">
        <f>IF(OR(E473="",F473="",E473=0),"",F473/E473)</f>
        <v/>
      </c>
      <c r="H473" s="7" t="n"/>
      <c r="I473" s="7">
        <f>IF(OR(H473="",F473=""),"",H473-F473)</f>
        <v/>
      </c>
      <c r="J473">
        <f>IF(I473="","",IF(I473&lt;=0,"BREACH",IF(I473&lt;=500,"WARNING","OK")))</f>
        <v/>
      </c>
    </row>
    <row r="474">
      <c r="B474" s="7" t="n"/>
      <c r="C474" s="7" t="n"/>
      <c r="D474" s="7">
        <f>IF(OR(B474="",C474=""),"",B474+C474)</f>
        <v/>
      </c>
      <c r="E474" s="7">
        <f>IF(D474="","",MAX($D$2:D474))</f>
        <v/>
      </c>
      <c r="F474" s="7">
        <f>IF(OR(E474="",D474=""),"",E474-D474)</f>
        <v/>
      </c>
      <c r="G474" s="8">
        <f>IF(OR(E474="",F474="",E474=0),"",F474/E474)</f>
        <v/>
      </c>
      <c r="H474" s="7" t="n"/>
      <c r="I474" s="7">
        <f>IF(OR(H474="",F474=""),"",H474-F474)</f>
        <v/>
      </c>
      <c r="J474">
        <f>IF(I474="","",IF(I474&lt;=0,"BREACH",IF(I474&lt;=500,"WARNING","OK")))</f>
        <v/>
      </c>
    </row>
    <row r="475">
      <c r="B475" s="7" t="n"/>
      <c r="C475" s="7" t="n"/>
      <c r="D475" s="7">
        <f>IF(OR(B475="",C475=""),"",B475+C475)</f>
        <v/>
      </c>
      <c r="E475" s="7">
        <f>IF(D475="","",MAX($D$2:D475))</f>
        <v/>
      </c>
      <c r="F475" s="7">
        <f>IF(OR(E475="",D475=""),"",E475-D475)</f>
        <v/>
      </c>
      <c r="G475" s="8">
        <f>IF(OR(E475="",F475="",E475=0),"",F475/E475)</f>
        <v/>
      </c>
      <c r="H475" s="7" t="n"/>
      <c r="I475" s="7">
        <f>IF(OR(H475="",F475=""),"",H475-F475)</f>
        <v/>
      </c>
      <c r="J475">
        <f>IF(I475="","",IF(I475&lt;=0,"BREACH",IF(I475&lt;=500,"WARNING","OK")))</f>
        <v/>
      </c>
    </row>
    <row r="476">
      <c r="B476" s="7" t="n"/>
      <c r="C476" s="7" t="n"/>
      <c r="D476" s="7">
        <f>IF(OR(B476="",C476=""),"",B476+C476)</f>
        <v/>
      </c>
      <c r="E476" s="7">
        <f>IF(D476="","",MAX($D$2:D476))</f>
        <v/>
      </c>
      <c r="F476" s="7">
        <f>IF(OR(E476="",D476=""),"",E476-D476)</f>
        <v/>
      </c>
      <c r="G476" s="8">
        <f>IF(OR(E476="",F476="",E476=0),"",F476/E476)</f>
        <v/>
      </c>
      <c r="H476" s="7" t="n"/>
      <c r="I476" s="7">
        <f>IF(OR(H476="",F476=""),"",H476-F476)</f>
        <v/>
      </c>
      <c r="J476">
        <f>IF(I476="","",IF(I476&lt;=0,"BREACH",IF(I476&lt;=500,"WARNING","OK")))</f>
        <v/>
      </c>
    </row>
    <row r="477">
      <c r="B477" s="7" t="n"/>
      <c r="C477" s="7" t="n"/>
      <c r="D477" s="7">
        <f>IF(OR(B477="",C477=""),"",B477+C477)</f>
        <v/>
      </c>
      <c r="E477" s="7">
        <f>IF(D477="","",MAX($D$2:D477))</f>
        <v/>
      </c>
      <c r="F477" s="7">
        <f>IF(OR(E477="",D477=""),"",E477-D477)</f>
        <v/>
      </c>
      <c r="G477" s="8">
        <f>IF(OR(E477="",F477="",E477=0),"",F477/E477)</f>
        <v/>
      </c>
      <c r="H477" s="7" t="n"/>
      <c r="I477" s="7">
        <f>IF(OR(H477="",F477=""),"",H477-F477)</f>
        <v/>
      </c>
      <c r="J477">
        <f>IF(I477="","",IF(I477&lt;=0,"BREACH",IF(I477&lt;=500,"WARNING","OK")))</f>
        <v/>
      </c>
    </row>
    <row r="478">
      <c r="B478" s="7" t="n"/>
      <c r="C478" s="7" t="n"/>
      <c r="D478" s="7">
        <f>IF(OR(B478="",C478=""),"",B478+C478)</f>
        <v/>
      </c>
      <c r="E478" s="7">
        <f>IF(D478="","",MAX($D$2:D478))</f>
        <v/>
      </c>
      <c r="F478" s="7">
        <f>IF(OR(E478="",D478=""),"",E478-D478)</f>
        <v/>
      </c>
      <c r="G478" s="8">
        <f>IF(OR(E478="",F478="",E478=0),"",F478/E478)</f>
        <v/>
      </c>
      <c r="H478" s="7" t="n"/>
      <c r="I478" s="7">
        <f>IF(OR(H478="",F478=""),"",H478-F478)</f>
        <v/>
      </c>
      <c r="J478">
        <f>IF(I478="","",IF(I478&lt;=0,"BREACH",IF(I478&lt;=500,"WARNING","OK")))</f>
        <v/>
      </c>
    </row>
    <row r="479">
      <c r="B479" s="7" t="n"/>
      <c r="C479" s="7" t="n"/>
      <c r="D479" s="7">
        <f>IF(OR(B479="",C479=""),"",B479+C479)</f>
        <v/>
      </c>
      <c r="E479" s="7">
        <f>IF(D479="","",MAX($D$2:D479))</f>
        <v/>
      </c>
      <c r="F479" s="7">
        <f>IF(OR(E479="",D479=""),"",E479-D479)</f>
        <v/>
      </c>
      <c r="G479" s="8">
        <f>IF(OR(E479="",F479="",E479=0),"",F479/E479)</f>
        <v/>
      </c>
      <c r="H479" s="7" t="n"/>
      <c r="I479" s="7">
        <f>IF(OR(H479="",F479=""),"",H479-F479)</f>
        <v/>
      </c>
      <c r="J479">
        <f>IF(I479="","",IF(I479&lt;=0,"BREACH",IF(I479&lt;=500,"WARNING","OK")))</f>
        <v/>
      </c>
    </row>
    <row r="480">
      <c r="B480" s="7" t="n"/>
      <c r="C480" s="7" t="n"/>
      <c r="D480" s="7">
        <f>IF(OR(B480="",C480=""),"",B480+C480)</f>
        <v/>
      </c>
      <c r="E480" s="7">
        <f>IF(D480="","",MAX($D$2:D480))</f>
        <v/>
      </c>
      <c r="F480" s="7">
        <f>IF(OR(E480="",D480=""),"",E480-D480)</f>
        <v/>
      </c>
      <c r="G480" s="8">
        <f>IF(OR(E480="",F480="",E480=0),"",F480/E480)</f>
        <v/>
      </c>
      <c r="H480" s="7" t="n"/>
      <c r="I480" s="7">
        <f>IF(OR(H480="",F480=""),"",H480-F480)</f>
        <v/>
      </c>
      <c r="J480">
        <f>IF(I480="","",IF(I480&lt;=0,"BREACH",IF(I480&lt;=500,"WARNING","OK")))</f>
        <v/>
      </c>
    </row>
    <row r="481">
      <c r="B481" s="7" t="n"/>
      <c r="C481" s="7" t="n"/>
      <c r="D481" s="7">
        <f>IF(OR(B481="",C481=""),"",B481+C481)</f>
        <v/>
      </c>
      <c r="E481" s="7">
        <f>IF(D481="","",MAX($D$2:D481))</f>
        <v/>
      </c>
      <c r="F481" s="7">
        <f>IF(OR(E481="",D481=""),"",E481-D481)</f>
        <v/>
      </c>
      <c r="G481" s="8">
        <f>IF(OR(E481="",F481="",E481=0),"",F481/E481)</f>
        <v/>
      </c>
      <c r="H481" s="7" t="n"/>
      <c r="I481" s="7">
        <f>IF(OR(H481="",F481=""),"",H481-F481)</f>
        <v/>
      </c>
      <c r="J481">
        <f>IF(I481="","",IF(I481&lt;=0,"BREACH",IF(I481&lt;=500,"WARNING","OK")))</f>
        <v/>
      </c>
    </row>
    <row r="482">
      <c r="B482" s="7" t="n"/>
      <c r="C482" s="7" t="n"/>
      <c r="D482" s="7">
        <f>IF(OR(B482="",C482=""),"",B482+C482)</f>
        <v/>
      </c>
      <c r="E482" s="7">
        <f>IF(D482="","",MAX($D$2:D482))</f>
        <v/>
      </c>
      <c r="F482" s="7">
        <f>IF(OR(E482="",D482=""),"",E482-D482)</f>
        <v/>
      </c>
      <c r="G482" s="8">
        <f>IF(OR(E482="",F482="",E482=0),"",F482/E482)</f>
        <v/>
      </c>
      <c r="H482" s="7" t="n"/>
      <c r="I482" s="7">
        <f>IF(OR(H482="",F482=""),"",H482-F482)</f>
        <v/>
      </c>
      <c r="J482">
        <f>IF(I482="","",IF(I482&lt;=0,"BREACH",IF(I482&lt;=500,"WARNING","OK")))</f>
        <v/>
      </c>
    </row>
    <row r="483">
      <c r="B483" s="7" t="n"/>
      <c r="C483" s="7" t="n"/>
      <c r="D483" s="7">
        <f>IF(OR(B483="",C483=""),"",B483+C483)</f>
        <v/>
      </c>
      <c r="E483" s="7">
        <f>IF(D483="","",MAX($D$2:D483))</f>
        <v/>
      </c>
      <c r="F483" s="7">
        <f>IF(OR(E483="",D483=""),"",E483-D483)</f>
        <v/>
      </c>
      <c r="G483" s="8">
        <f>IF(OR(E483="",F483="",E483=0),"",F483/E483)</f>
        <v/>
      </c>
      <c r="H483" s="7" t="n"/>
      <c r="I483" s="7">
        <f>IF(OR(H483="",F483=""),"",H483-F483)</f>
        <v/>
      </c>
      <c r="J483">
        <f>IF(I483="","",IF(I483&lt;=0,"BREACH",IF(I483&lt;=500,"WARNING","OK")))</f>
        <v/>
      </c>
    </row>
    <row r="484">
      <c r="B484" s="7" t="n"/>
      <c r="C484" s="7" t="n"/>
      <c r="D484" s="7">
        <f>IF(OR(B484="",C484=""),"",B484+C484)</f>
        <v/>
      </c>
      <c r="E484" s="7">
        <f>IF(D484="","",MAX($D$2:D484))</f>
        <v/>
      </c>
      <c r="F484" s="7">
        <f>IF(OR(E484="",D484=""),"",E484-D484)</f>
        <v/>
      </c>
      <c r="G484" s="8">
        <f>IF(OR(E484="",F484="",E484=0),"",F484/E484)</f>
        <v/>
      </c>
      <c r="H484" s="7" t="n"/>
      <c r="I484" s="7">
        <f>IF(OR(H484="",F484=""),"",H484-F484)</f>
        <v/>
      </c>
      <c r="J484">
        <f>IF(I484="","",IF(I484&lt;=0,"BREACH",IF(I484&lt;=500,"WARNING","OK")))</f>
        <v/>
      </c>
    </row>
    <row r="485">
      <c r="B485" s="7" t="n"/>
      <c r="C485" s="7" t="n"/>
      <c r="D485" s="7">
        <f>IF(OR(B485="",C485=""),"",B485+C485)</f>
        <v/>
      </c>
      <c r="E485" s="7">
        <f>IF(D485="","",MAX($D$2:D485))</f>
        <v/>
      </c>
      <c r="F485" s="7">
        <f>IF(OR(E485="",D485=""),"",E485-D485)</f>
        <v/>
      </c>
      <c r="G485" s="8">
        <f>IF(OR(E485="",F485="",E485=0),"",F485/E485)</f>
        <v/>
      </c>
      <c r="H485" s="7" t="n"/>
      <c r="I485" s="7">
        <f>IF(OR(H485="",F485=""),"",H485-F485)</f>
        <v/>
      </c>
      <c r="J485">
        <f>IF(I485="","",IF(I485&lt;=0,"BREACH",IF(I485&lt;=500,"WARNING","OK")))</f>
        <v/>
      </c>
    </row>
    <row r="486">
      <c r="B486" s="7" t="n"/>
      <c r="C486" s="7" t="n"/>
      <c r="D486" s="7">
        <f>IF(OR(B486="",C486=""),"",B486+C486)</f>
        <v/>
      </c>
      <c r="E486" s="7">
        <f>IF(D486="","",MAX($D$2:D486))</f>
        <v/>
      </c>
      <c r="F486" s="7">
        <f>IF(OR(E486="",D486=""),"",E486-D486)</f>
        <v/>
      </c>
      <c r="G486" s="8">
        <f>IF(OR(E486="",F486="",E486=0),"",F486/E486)</f>
        <v/>
      </c>
      <c r="H486" s="7" t="n"/>
      <c r="I486" s="7">
        <f>IF(OR(H486="",F486=""),"",H486-F486)</f>
        <v/>
      </c>
      <c r="J486">
        <f>IF(I486="","",IF(I486&lt;=0,"BREACH",IF(I486&lt;=500,"WARNING","OK")))</f>
        <v/>
      </c>
    </row>
    <row r="487">
      <c r="B487" s="7" t="n"/>
      <c r="C487" s="7" t="n"/>
      <c r="D487" s="7">
        <f>IF(OR(B487="",C487=""),"",B487+C487)</f>
        <v/>
      </c>
      <c r="E487" s="7">
        <f>IF(D487="","",MAX($D$2:D487))</f>
        <v/>
      </c>
      <c r="F487" s="7">
        <f>IF(OR(E487="",D487=""),"",E487-D487)</f>
        <v/>
      </c>
      <c r="G487" s="8">
        <f>IF(OR(E487="",F487="",E487=0),"",F487/E487)</f>
        <v/>
      </c>
      <c r="H487" s="7" t="n"/>
      <c r="I487" s="7">
        <f>IF(OR(H487="",F487=""),"",H487-F487)</f>
        <v/>
      </c>
      <c r="J487">
        <f>IF(I487="","",IF(I487&lt;=0,"BREACH",IF(I487&lt;=500,"WARNING","OK")))</f>
        <v/>
      </c>
    </row>
    <row r="488">
      <c r="B488" s="7" t="n"/>
      <c r="C488" s="7" t="n"/>
      <c r="D488" s="7">
        <f>IF(OR(B488="",C488=""),"",B488+C488)</f>
        <v/>
      </c>
      <c r="E488" s="7">
        <f>IF(D488="","",MAX($D$2:D488))</f>
        <v/>
      </c>
      <c r="F488" s="7">
        <f>IF(OR(E488="",D488=""),"",E488-D488)</f>
        <v/>
      </c>
      <c r="G488" s="8">
        <f>IF(OR(E488="",F488="",E488=0),"",F488/E488)</f>
        <v/>
      </c>
      <c r="H488" s="7" t="n"/>
      <c r="I488" s="7">
        <f>IF(OR(H488="",F488=""),"",H488-F488)</f>
        <v/>
      </c>
      <c r="J488">
        <f>IF(I488="","",IF(I488&lt;=0,"BREACH",IF(I488&lt;=500,"WARNING","OK")))</f>
        <v/>
      </c>
    </row>
    <row r="489">
      <c r="B489" s="7" t="n"/>
      <c r="C489" s="7" t="n"/>
      <c r="D489" s="7">
        <f>IF(OR(B489="",C489=""),"",B489+C489)</f>
        <v/>
      </c>
      <c r="E489" s="7">
        <f>IF(D489="","",MAX($D$2:D489))</f>
        <v/>
      </c>
      <c r="F489" s="7">
        <f>IF(OR(E489="",D489=""),"",E489-D489)</f>
        <v/>
      </c>
      <c r="G489" s="8">
        <f>IF(OR(E489="",F489="",E489=0),"",F489/E489)</f>
        <v/>
      </c>
      <c r="H489" s="7" t="n"/>
      <c r="I489" s="7">
        <f>IF(OR(H489="",F489=""),"",H489-F489)</f>
        <v/>
      </c>
      <c r="J489">
        <f>IF(I489="","",IF(I489&lt;=0,"BREACH",IF(I489&lt;=500,"WARNING","OK")))</f>
        <v/>
      </c>
    </row>
    <row r="490">
      <c r="B490" s="7" t="n"/>
      <c r="C490" s="7" t="n"/>
      <c r="D490" s="7">
        <f>IF(OR(B490="",C490=""),"",B490+C490)</f>
        <v/>
      </c>
      <c r="E490" s="7">
        <f>IF(D490="","",MAX($D$2:D490))</f>
        <v/>
      </c>
      <c r="F490" s="7">
        <f>IF(OR(E490="",D490=""),"",E490-D490)</f>
        <v/>
      </c>
      <c r="G490" s="8">
        <f>IF(OR(E490="",F490="",E490=0),"",F490/E490)</f>
        <v/>
      </c>
      <c r="H490" s="7" t="n"/>
      <c r="I490" s="7">
        <f>IF(OR(H490="",F490=""),"",H490-F490)</f>
        <v/>
      </c>
      <c r="J490">
        <f>IF(I490="","",IF(I490&lt;=0,"BREACH",IF(I490&lt;=500,"WARNING","OK")))</f>
        <v/>
      </c>
    </row>
    <row r="491">
      <c r="B491" s="7" t="n"/>
      <c r="C491" s="7" t="n"/>
      <c r="D491" s="7">
        <f>IF(OR(B491="",C491=""),"",B491+C491)</f>
        <v/>
      </c>
      <c r="E491" s="7">
        <f>IF(D491="","",MAX($D$2:D491))</f>
        <v/>
      </c>
      <c r="F491" s="7">
        <f>IF(OR(E491="",D491=""),"",E491-D491)</f>
        <v/>
      </c>
      <c r="G491" s="8">
        <f>IF(OR(E491="",F491="",E491=0),"",F491/E491)</f>
        <v/>
      </c>
      <c r="H491" s="7" t="n"/>
      <c r="I491" s="7">
        <f>IF(OR(H491="",F491=""),"",H491-F491)</f>
        <v/>
      </c>
      <c r="J491">
        <f>IF(I491="","",IF(I491&lt;=0,"BREACH",IF(I491&lt;=500,"WARNING","OK")))</f>
        <v/>
      </c>
    </row>
    <row r="492">
      <c r="B492" s="7" t="n"/>
      <c r="C492" s="7" t="n"/>
      <c r="D492" s="7">
        <f>IF(OR(B492="",C492=""),"",B492+C492)</f>
        <v/>
      </c>
      <c r="E492" s="7">
        <f>IF(D492="","",MAX($D$2:D492))</f>
        <v/>
      </c>
      <c r="F492" s="7">
        <f>IF(OR(E492="",D492=""),"",E492-D492)</f>
        <v/>
      </c>
      <c r="G492" s="8">
        <f>IF(OR(E492="",F492="",E492=0),"",F492/E492)</f>
        <v/>
      </c>
      <c r="H492" s="7" t="n"/>
      <c r="I492" s="7">
        <f>IF(OR(H492="",F492=""),"",H492-F492)</f>
        <v/>
      </c>
      <c r="J492">
        <f>IF(I492="","",IF(I492&lt;=0,"BREACH",IF(I492&lt;=500,"WARNING","OK")))</f>
        <v/>
      </c>
    </row>
    <row r="493">
      <c r="B493" s="7" t="n"/>
      <c r="C493" s="7" t="n"/>
      <c r="D493" s="7">
        <f>IF(OR(B493="",C493=""),"",B493+C493)</f>
        <v/>
      </c>
      <c r="E493" s="7">
        <f>IF(D493="","",MAX($D$2:D493))</f>
        <v/>
      </c>
      <c r="F493" s="7">
        <f>IF(OR(E493="",D493=""),"",E493-D493)</f>
        <v/>
      </c>
      <c r="G493" s="8">
        <f>IF(OR(E493="",F493="",E493=0),"",F493/E493)</f>
        <v/>
      </c>
      <c r="H493" s="7" t="n"/>
      <c r="I493" s="7">
        <f>IF(OR(H493="",F493=""),"",H493-F493)</f>
        <v/>
      </c>
      <c r="J493">
        <f>IF(I493="","",IF(I493&lt;=0,"BREACH",IF(I493&lt;=500,"WARNING","OK")))</f>
        <v/>
      </c>
    </row>
    <row r="494">
      <c r="B494" s="7" t="n"/>
      <c r="C494" s="7" t="n"/>
      <c r="D494" s="7">
        <f>IF(OR(B494="",C494=""),"",B494+C494)</f>
        <v/>
      </c>
      <c r="E494" s="7">
        <f>IF(D494="","",MAX($D$2:D494))</f>
        <v/>
      </c>
      <c r="F494" s="7">
        <f>IF(OR(E494="",D494=""),"",E494-D494)</f>
        <v/>
      </c>
      <c r="G494" s="8">
        <f>IF(OR(E494="",F494="",E494=0),"",F494/E494)</f>
        <v/>
      </c>
      <c r="H494" s="7" t="n"/>
      <c r="I494" s="7">
        <f>IF(OR(H494="",F494=""),"",H494-F494)</f>
        <v/>
      </c>
      <c r="J494">
        <f>IF(I494="","",IF(I494&lt;=0,"BREACH",IF(I494&lt;=500,"WARNING","OK")))</f>
        <v/>
      </c>
    </row>
    <row r="495">
      <c r="B495" s="7" t="n"/>
      <c r="C495" s="7" t="n"/>
      <c r="D495" s="7">
        <f>IF(OR(B495="",C495=""),"",B495+C495)</f>
        <v/>
      </c>
      <c r="E495" s="7">
        <f>IF(D495="","",MAX($D$2:D495))</f>
        <v/>
      </c>
      <c r="F495" s="7">
        <f>IF(OR(E495="",D495=""),"",E495-D495)</f>
        <v/>
      </c>
      <c r="G495" s="8">
        <f>IF(OR(E495="",F495="",E495=0),"",F495/E495)</f>
        <v/>
      </c>
      <c r="H495" s="7" t="n"/>
      <c r="I495" s="7">
        <f>IF(OR(H495="",F495=""),"",H495-F495)</f>
        <v/>
      </c>
      <c r="J495">
        <f>IF(I495="","",IF(I495&lt;=0,"BREACH",IF(I495&lt;=500,"WARNING","OK")))</f>
        <v/>
      </c>
    </row>
    <row r="496">
      <c r="B496" s="7" t="n"/>
      <c r="C496" s="7" t="n"/>
      <c r="D496" s="7">
        <f>IF(OR(B496="",C496=""),"",B496+C496)</f>
        <v/>
      </c>
      <c r="E496" s="7">
        <f>IF(D496="","",MAX($D$2:D496))</f>
        <v/>
      </c>
      <c r="F496" s="7">
        <f>IF(OR(E496="",D496=""),"",E496-D496)</f>
        <v/>
      </c>
      <c r="G496" s="8">
        <f>IF(OR(E496="",F496="",E496=0),"",F496/E496)</f>
        <v/>
      </c>
      <c r="H496" s="7" t="n"/>
      <c r="I496" s="7">
        <f>IF(OR(H496="",F496=""),"",H496-F496)</f>
        <v/>
      </c>
      <c r="J496">
        <f>IF(I496="","",IF(I496&lt;=0,"BREACH",IF(I496&lt;=500,"WARNING","OK")))</f>
        <v/>
      </c>
    </row>
    <row r="497">
      <c r="B497" s="7" t="n"/>
      <c r="C497" s="7" t="n"/>
      <c r="D497" s="7">
        <f>IF(OR(B497="",C497=""),"",B497+C497)</f>
        <v/>
      </c>
      <c r="E497" s="7">
        <f>IF(D497="","",MAX($D$2:D497))</f>
        <v/>
      </c>
      <c r="F497" s="7">
        <f>IF(OR(E497="",D497=""),"",E497-D497)</f>
        <v/>
      </c>
      <c r="G497" s="8">
        <f>IF(OR(E497="",F497="",E497=0),"",F497/E497)</f>
        <v/>
      </c>
      <c r="H497" s="7" t="n"/>
      <c r="I497" s="7">
        <f>IF(OR(H497="",F497=""),"",H497-F497)</f>
        <v/>
      </c>
      <c r="J497">
        <f>IF(I497="","",IF(I497&lt;=0,"BREACH",IF(I497&lt;=500,"WARNING","OK")))</f>
        <v/>
      </c>
    </row>
    <row r="498">
      <c r="B498" s="7" t="n"/>
      <c r="C498" s="7" t="n"/>
      <c r="D498" s="7">
        <f>IF(OR(B498="",C498=""),"",B498+C498)</f>
        <v/>
      </c>
      <c r="E498" s="7">
        <f>IF(D498="","",MAX($D$2:D498))</f>
        <v/>
      </c>
      <c r="F498" s="7">
        <f>IF(OR(E498="",D498=""),"",E498-D498)</f>
        <v/>
      </c>
      <c r="G498" s="8">
        <f>IF(OR(E498="",F498="",E498=0),"",F498/E498)</f>
        <v/>
      </c>
      <c r="H498" s="7" t="n"/>
      <c r="I498" s="7">
        <f>IF(OR(H498="",F498=""),"",H498-F498)</f>
        <v/>
      </c>
      <c r="J498">
        <f>IF(I498="","",IF(I498&lt;=0,"BREACH",IF(I498&lt;=500,"WARNING","OK")))</f>
        <v/>
      </c>
    </row>
    <row r="499">
      <c r="B499" s="7" t="n"/>
      <c r="C499" s="7" t="n"/>
      <c r="D499" s="7">
        <f>IF(OR(B499="",C499=""),"",B499+C499)</f>
        <v/>
      </c>
      <c r="E499" s="7">
        <f>IF(D499="","",MAX($D$2:D499))</f>
        <v/>
      </c>
      <c r="F499" s="7">
        <f>IF(OR(E499="",D499=""),"",E499-D499)</f>
        <v/>
      </c>
      <c r="G499" s="8">
        <f>IF(OR(E499="",F499="",E499=0),"",F499/E499)</f>
        <v/>
      </c>
      <c r="H499" s="7" t="n"/>
      <c r="I499" s="7">
        <f>IF(OR(H499="",F499=""),"",H499-F499)</f>
        <v/>
      </c>
      <c r="J499">
        <f>IF(I499="","",IF(I499&lt;=0,"BREACH",IF(I499&lt;=500,"WARNING","OK")))</f>
        <v/>
      </c>
    </row>
    <row r="500">
      <c r="B500" s="7" t="n"/>
      <c r="C500" s="7" t="n"/>
      <c r="D500" s="7">
        <f>IF(OR(B500="",C500=""),"",B500+C500)</f>
        <v/>
      </c>
      <c r="E500" s="7">
        <f>IF(D500="","",MAX($D$2:D500))</f>
        <v/>
      </c>
      <c r="F500" s="7">
        <f>IF(OR(E500="",D500=""),"",E500-D500)</f>
        <v/>
      </c>
      <c r="G500" s="8">
        <f>IF(OR(E500="",F500="",E500=0),"",F500/E500)</f>
        <v/>
      </c>
      <c r="H500" s="7" t="n"/>
      <c r="I500" s="7">
        <f>IF(OR(H500="",F500=""),"",H500-F500)</f>
        <v/>
      </c>
      <c r="J500">
        <f>IF(I500="","",IF(I500&lt;=0,"BREACH",IF(I500&lt;=500,"WARNING","OK")))</f>
        <v/>
      </c>
    </row>
    <row r="501">
      <c r="B501" s="7" t="n"/>
      <c r="C501" s="7" t="n"/>
      <c r="D501" s="7">
        <f>IF(OR(B501="",C501=""),"",B501+C501)</f>
        <v/>
      </c>
      <c r="E501" s="7">
        <f>IF(D501="","",MAX($D$2:D501))</f>
        <v/>
      </c>
      <c r="F501" s="7">
        <f>IF(OR(E501="",D501=""),"",E501-D501)</f>
        <v/>
      </c>
      <c r="G501" s="8">
        <f>IF(OR(E501="",F501="",E501=0),"",F501/E501)</f>
        <v/>
      </c>
      <c r="H501" s="7" t="n"/>
      <c r="I501" s="7">
        <f>IF(OR(H501="",F501=""),"",H501-F501)</f>
        <v/>
      </c>
      <c r="J501">
        <f>IF(I501="","",IF(I501&lt;=0,"BREACH",IF(I501&lt;=500,"WARNING","OK")))</f>
        <v/>
      </c>
    </row>
    <row r="502">
      <c r="B502" s="7" t="n"/>
      <c r="C502" s="7" t="n"/>
      <c r="D502" s="7">
        <f>IF(OR(B502="",C502=""),"",B502+C502)</f>
        <v/>
      </c>
      <c r="E502" s="7">
        <f>IF(D502="","",MAX($D$2:D502))</f>
        <v/>
      </c>
      <c r="F502" s="7">
        <f>IF(OR(E502="",D502=""),"",E502-D502)</f>
        <v/>
      </c>
      <c r="G502" s="8">
        <f>IF(OR(E502="",F502="",E502=0),"",F502/E502)</f>
        <v/>
      </c>
      <c r="H502" s="7" t="n"/>
      <c r="I502" s="7">
        <f>IF(OR(H502="",F502=""),"",H502-F502)</f>
        <v/>
      </c>
      <c r="J502">
        <f>IF(I502="","",IF(I502&lt;=0,"BREACH",IF(I502&lt;=500,"WARNING","OK")))</f>
        <v/>
      </c>
    </row>
    <row r="503">
      <c r="B503" s="7" t="n"/>
      <c r="C503" s="7" t="n"/>
      <c r="D503" s="7">
        <f>IF(OR(B503="",C503=""),"",B503+C503)</f>
        <v/>
      </c>
      <c r="E503" s="7">
        <f>IF(D503="","",MAX($D$2:D503))</f>
        <v/>
      </c>
      <c r="F503" s="7">
        <f>IF(OR(E503="",D503=""),"",E503-D503)</f>
        <v/>
      </c>
      <c r="G503" s="8">
        <f>IF(OR(E503="",F503="",E503=0),"",F503/E503)</f>
        <v/>
      </c>
      <c r="H503" s="7" t="n"/>
      <c r="I503" s="7">
        <f>IF(OR(H503="",F503=""),"",H503-F503)</f>
        <v/>
      </c>
      <c r="J503">
        <f>IF(I503="","",IF(I503&lt;=0,"BREACH",IF(I503&lt;=500,"WARNING","OK")))</f>
        <v/>
      </c>
    </row>
    <row r="504">
      <c r="B504" s="7" t="n"/>
      <c r="C504" s="7" t="n"/>
      <c r="D504" s="7">
        <f>IF(OR(B504="",C504=""),"",B504+C504)</f>
        <v/>
      </c>
      <c r="E504" s="7">
        <f>IF(D504="","",MAX($D$2:D504))</f>
        <v/>
      </c>
      <c r="F504" s="7">
        <f>IF(OR(E504="",D504=""),"",E504-D504)</f>
        <v/>
      </c>
      <c r="G504" s="8">
        <f>IF(OR(E504="",F504="",E504=0),"",F504/E504)</f>
        <v/>
      </c>
      <c r="H504" s="7" t="n"/>
      <c r="I504" s="7">
        <f>IF(OR(H504="",F504=""),"",H504-F504)</f>
        <v/>
      </c>
      <c r="J504">
        <f>IF(I504="","",IF(I504&lt;=0,"BREACH",IF(I504&lt;=500,"WARNING","OK")))</f>
        <v/>
      </c>
    </row>
    <row r="505">
      <c r="B505" s="7" t="n"/>
      <c r="C505" s="7" t="n"/>
      <c r="D505" s="7">
        <f>IF(OR(B505="",C505=""),"",B505+C505)</f>
        <v/>
      </c>
      <c r="E505" s="7">
        <f>IF(D505="","",MAX($D$2:D505))</f>
        <v/>
      </c>
      <c r="F505" s="7">
        <f>IF(OR(E505="",D505=""),"",E505-D505)</f>
        <v/>
      </c>
      <c r="G505" s="8">
        <f>IF(OR(E505="",F505="",E505=0),"",F505/E505)</f>
        <v/>
      </c>
      <c r="H505" s="7" t="n"/>
      <c r="I505" s="7">
        <f>IF(OR(H505="",F505=""),"",H505-F505)</f>
        <v/>
      </c>
      <c r="J505">
        <f>IF(I505="","",IF(I505&lt;=0,"BREACH",IF(I505&lt;=500,"WARNING","OK")))</f>
        <v/>
      </c>
    </row>
    <row r="506">
      <c r="B506" s="7" t="n"/>
      <c r="C506" s="7" t="n"/>
      <c r="D506" s="7">
        <f>IF(OR(B506="",C506=""),"",B506+C506)</f>
        <v/>
      </c>
      <c r="E506" s="7">
        <f>IF(D506="","",MAX($D$2:D506))</f>
        <v/>
      </c>
      <c r="F506" s="7">
        <f>IF(OR(E506="",D506=""),"",E506-D506)</f>
        <v/>
      </c>
      <c r="G506" s="8">
        <f>IF(OR(E506="",F506="",E506=0),"",F506/E506)</f>
        <v/>
      </c>
      <c r="H506" s="7" t="n"/>
      <c r="I506" s="7">
        <f>IF(OR(H506="",F506=""),"",H506-F506)</f>
        <v/>
      </c>
      <c r="J506">
        <f>IF(I506="","",IF(I506&lt;=0,"BREACH",IF(I506&lt;=500,"WARNING","OK")))</f>
        <v/>
      </c>
    </row>
    <row r="507">
      <c r="B507" s="7" t="n"/>
      <c r="C507" s="7" t="n"/>
      <c r="D507" s="7">
        <f>IF(OR(B507="",C507=""),"",B507+C507)</f>
        <v/>
      </c>
      <c r="E507" s="7">
        <f>IF(D507="","",MAX($D$2:D507))</f>
        <v/>
      </c>
      <c r="F507" s="7">
        <f>IF(OR(E507="",D507=""),"",E507-D507)</f>
        <v/>
      </c>
      <c r="G507" s="8">
        <f>IF(OR(E507="",F507="",E507=0),"",F507/E507)</f>
        <v/>
      </c>
      <c r="H507" s="7" t="n"/>
      <c r="I507" s="7">
        <f>IF(OR(H507="",F507=""),"",H507-F507)</f>
        <v/>
      </c>
      <c r="J507">
        <f>IF(I507="","",IF(I507&lt;=0,"BREACH",IF(I507&lt;=500,"WARNING","OK")))</f>
        <v/>
      </c>
    </row>
    <row r="508">
      <c r="B508" s="7" t="n"/>
      <c r="C508" s="7" t="n"/>
      <c r="D508" s="7">
        <f>IF(OR(B508="",C508=""),"",B508+C508)</f>
        <v/>
      </c>
      <c r="E508" s="7">
        <f>IF(D508="","",MAX($D$2:D508))</f>
        <v/>
      </c>
      <c r="F508" s="7">
        <f>IF(OR(E508="",D508=""),"",E508-D508)</f>
        <v/>
      </c>
      <c r="G508" s="8">
        <f>IF(OR(E508="",F508="",E508=0),"",F508/E508)</f>
        <v/>
      </c>
      <c r="H508" s="7" t="n"/>
      <c r="I508" s="7">
        <f>IF(OR(H508="",F508=""),"",H508-F508)</f>
        <v/>
      </c>
      <c r="J508">
        <f>IF(I508="","",IF(I508&lt;=0,"BREACH",IF(I508&lt;=500,"WARNING","OK")))</f>
        <v/>
      </c>
    </row>
    <row r="509">
      <c r="B509" s="7" t="n"/>
      <c r="C509" s="7" t="n"/>
      <c r="D509" s="7">
        <f>IF(OR(B509="",C509=""),"",B509+C509)</f>
        <v/>
      </c>
      <c r="E509" s="7">
        <f>IF(D509="","",MAX($D$2:D509))</f>
        <v/>
      </c>
      <c r="F509" s="7">
        <f>IF(OR(E509="",D509=""),"",E509-D509)</f>
        <v/>
      </c>
      <c r="G509" s="8">
        <f>IF(OR(E509="",F509="",E509=0),"",F509/E509)</f>
        <v/>
      </c>
      <c r="H509" s="7" t="n"/>
      <c r="I509" s="7">
        <f>IF(OR(H509="",F509=""),"",H509-F509)</f>
        <v/>
      </c>
      <c r="J509">
        <f>IF(I509="","",IF(I509&lt;=0,"BREACH",IF(I509&lt;=500,"WARNING","OK")))</f>
        <v/>
      </c>
    </row>
    <row r="510">
      <c r="B510" s="7" t="n"/>
      <c r="C510" s="7" t="n"/>
      <c r="D510" s="7">
        <f>IF(OR(B510="",C510=""),"",B510+C510)</f>
        <v/>
      </c>
      <c r="E510" s="7">
        <f>IF(D510="","",MAX($D$2:D510))</f>
        <v/>
      </c>
      <c r="F510" s="7">
        <f>IF(OR(E510="",D510=""),"",E510-D510)</f>
        <v/>
      </c>
      <c r="G510" s="8">
        <f>IF(OR(E510="",F510="",E510=0),"",F510/E510)</f>
        <v/>
      </c>
      <c r="H510" s="7" t="n"/>
      <c r="I510" s="7">
        <f>IF(OR(H510="",F510=""),"",H510-F510)</f>
        <v/>
      </c>
      <c r="J510">
        <f>IF(I510="","",IF(I510&lt;=0,"BREACH",IF(I510&lt;=500,"WARNING","OK")))</f>
        <v/>
      </c>
    </row>
    <row r="511">
      <c r="B511" s="7" t="n"/>
      <c r="C511" s="7" t="n"/>
      <c r="D511" s="7">
        <f>IF(OR(B511="",C511=""),"",B511+C511)</f>
        <v/>
      </c>
      <c r="E511" s="7">
        <f>IF(D511="","",MAX($D$2:D511))</f>
        <v/>
      </c>
      <c r="F511" s="7">
        <f>IF(OR(E511="",D511=""),"",E511-D511)</f>
        <v/>
      </c>
      <c r="G511" s="8">
        <f>IF(OR(E511="",F511="",E511=0),"",F511/E511)</f>
        <v/>
      </c>
      <c r="H511" s="7" t="n"/>
      <c r="I511" s="7">
        <f>IF(OR(H511="",F511=""),"",H511-F511)</f>
        <v/>
      </c>
      <c r="J511">
        <f>IF(I511="","",IF(I511&lt;=0,"BREACH",IF(I511&lt;=500,"WARNING","OK")))</f>
        <v/>
      </c>
    </row>
    <row r="512">
      <c r="B512" s="7" t="n"/>
      <c r="C512" s="7" t="n"/>
      <c r="D512" s="7">
        <f>IF(OR(B512="",C512=""),"",B512+C512)</f>
        <v/>
      </c>
      <c r="E512" s="7">
        <f>IF(D512="","",MAX($D$2:D512))</f>
        <v/>
      </c>
      <c r="F512" s="7">
        <f>IF(OR(E512="",D512=""),"",E512-D512)</f>
        <v/>
      </c>
      <c r="G512" s="8">
        <f>IF(OR(E512="",F512="",E512=0),"",F512/E512)</f>
        <v/>
      </c>
      <c r="H512" s="7" t="n"/>
      <c r="I512" s="7">
        <f>IF(OR(H512="",F512=""),"",H512-F512)</f>
        <v/>
      </c>
      <c r="J512">
        <f>IF(I512="","",IF(I512&lt;=0,"BREACH",IF(I512&lt;=500,"WARNING","OK")))</f>
        <v/>
      </c>
    </row>
    <row r="513">
      <c r="B513" s="7" t="n"/>
      <c r="C513" s="7" t="n"/>
      <c r="D513" s="7">
        <f>IF(OR(B513="",C513=""),"",B513+C513)</f>
        <v/>
      </c>
      <c r="E513" s="7">
        <f>IF(D513="","",MAX($D$2:D513))</f>
        <v/>
      </c>
      <c r="F513" s="7">
        <f>IF(OR(E513="",D513=""),"",E513-D513)</f>
        <v/>
      </c>
      <c r="G513" s="8">
        <f>IF(OR(E513="",F513="",E513=0),"",F513/E513)</f>
        <v/>
      </c>
      <c r="H513" s="7" t="n"/>
      <c r="I513" s="7">
        <f>IF(OR(H513="",F513=""),"",H513-F513)</f>
        <v/>
      </c>
      <c r="J513">
        <f>IF(I513="","",IF(I513&lt;=0,"BREACH",IF(I513&lt;=500,"WARNING","OK")))</f>
        <v/>
      </c>
    </row>
    <row r="514">
      <c r="B514" s="7" t="n"/>
      <c r="C514" s="7" t="n"/>
      <c r="D514" s="7">
        <f>IF(OR(B514="",C514=""),"",B514+C514)</f>
        <v/>
      </c>
      <c r="E514" s="7">
        <f>IF(D514="","",MAX($D$2:D514))</f>
        <v/>
      </c>
      <c r="F514" s="7">
        <f>IF(OR(E514="",D514=""),"",E514-D514)</f>
        <v/>
      </c>
      <c r="G514" s="8">
        <f>IF(OR(E514="",F514="",E514=0),"",F514/E514)</f>
        <v/>
      </c>
      <c r="H514" s="7" t="n"/>
      <c r="I514" s="7">
        <f>IF(OR(H514="",F514=""),"",H514-F514)</f>
        <v/>
      </c>
      <c r="J514">
        <f>IF(I514="","",IF(I514&lt;=0,"BREACH",IF(I514&lt;=500,"WARNING","OK")))</f>
        <v/>
      </c>
    </row>
    <row r="515">
      <c r="B515" s="7" t="n"/>
      <c r="C515" s="7" t="n"/>
      <c r="D515" s="7">
        <f>IF(OR(B515="",C515=""),"",B515+C515)</f>
        <v/>
      </c>
      <c r="E515" s="7">
        <f>IF(D515="","",MAX($D$2:D515))</f>
        <v/>
      </c>
      <c r="F515" s="7">
        <f>IF(OR(E515="",D515=""),"",E515-D515)</f>
        <v/>
      </c>
      <c r="G515" s="8">
        <f>IF(OR(E515="",F515="",E515=0),"",F515/E515)</f>
        <v/>
      </c>
      <c r="H515" s="7" t="n"/>
      <c r="I515" s="7">
        <f>IF(OR(H515="",F515=""),"",H515-F515)</f>
        <v/>
      </c>
      <c r="J515">
        <f>IF(I515="","",IF(I515&lt;=0,"BREACH",IF(I515&lt;=500,"WARNING","OK")))</f>
        <v/>
      </c>
    </row>
    <row r="516">
      <c r="B516" s="7" t="n"/>
      <c r="C516" s="7" t="n"/>
      <c r="D516" s="7">
        <f>IF(OR(B516="",C516=""),"",B516+C516)</f>
        <v/>
      </c>
      <c r="E516" s="7">
        <f>IF(D516="","",MAX($D$2:D516))</f>
        <v/>
      </c>
      <c r="F516" s="7">
        <f>IF(OR(E516="",D516=""),"",E516-D516)</f>
        <v/>
      </c>
      <c r="G516" s="8">
        <f>IF(OR(E516="",F516="",E516=0),"",F516/E516)</f>
        <v/>
      </c>
      <c r="H516" s="7" t="n"/>
      <c r="I516" s="7">
        <f>IF(OR(H516="",F516=""),"",H516-F516)</f>
        <v/>
      </c>
      <c r="J516">
        <f>IF(I516="","",IF(I516&lt;=0,"BREACH",IF(I516&lt;=500,"WARNING","OK")))</f>
        <v/>
      </c>
    </row>
    <row r="517">
      <c r="B517" s="7" t="n"/>
      <c r="C517" s="7" t="n"/>
      <c r="D517" s="7">
        <f>IF(OR(B517="",C517=""),"",B517+C517)</f>
        <v/>
      </c>
      <c r="E517" s="7">
        <f>IF(D517="","",MAX($D$2:D517))</f>
        <v/>
      </c>
      <c r="F517" s="7">
        <f>IF(OR(E517="",D517=""),"",E517-D517)</f>
        <v/>
      </c>
      <c r="G517" s="8">
        <f>IF(OR(E517="",F517="",E517=0),"",F517/E517)</f>
        <v/>
      </c>
      <c r="H517" s="7" t="n"/>
      <c r="I517" s="7">
        <f>IF(OR(H517="",F517=""),"",H517-F517)</f>
        <v/>
      </c>
      <c r="J517">
        <f>IF(I517="","",IF(I517&lt;=0,"BREACH",IF(I517&lt;=500,"WARNING","OK")))</f>
        <v/>
      </c>
    </row>
    <row r="518">
      <c r="B518" s="7" t="n"/>
      <c r="C518" s="7" t="n"/>
      <c r="D518" s="7">
        <f>IF(OR(B518="",C518=""),"",B518+C518)</f>
        <v/>
      </c>
      <c r="E518" s="7">
        <f>IF(D518="","",MAX($D$2:D518))</f>
        <v/>
      </c>
      <c r="F518" s="7">
        <f>IF(OR(E518="",D518=""),"",E518-D518)</f>
        <v/>
      </c>
      <c r="G518" s="8">
        <f>IF(OR(E518="",F518="",E518=0),"",F518/E518)</f>
        <v/>
      </c>
      <c r="H518" s="7" t="n"/>
      <c r="I518" s="7">
        <f>IF(OR(H518="",F518=""),"",H518-F518)</f>
        <v/>
      </c>
      <c r="J518">
        <f>IF(I518="","",IF(I518&lt;=0,"BREACH",IF(I518&lt;=500,"WARNING","OK")))</f>
        <v/>
      </c>
    </row>
    <row r="519">
      <c r="B519" s="7" t="n"/>
      <c r="C519" s="7" t="n"/>
      <c r="D519" s="7">
        <f>IF(OR(B519="",C519=""),"",B519+C519)</f>
        <v/>
      </c>
      <c r="E519" s="7">
        <f>IF(D519="","",MAX($D$2:D519))</f>
        <v/>
      </c>
      <c r="F519" s="7">
        <f>IF(OR(E519="",D519=""),"",E519-D519)</f>
        <v/>
      </c>
      <c r="G519" s="8">
        <f>IF(OR(E519="",F519="",E519=0),"",F519/E519)</f>
        <v/>
      </c>
      <c r="H519" s="7" t="n"/>
      <c r="I519" s="7">
        <f>IF(OR(H519="",F519=""),"",H519-F519)</f>
        <v/>
      </c>
      <c r="J519">
        <f>IF(I519="","",IF(I519&lt;=0,"BREACH",IF(I519&lt;=500,"WARNING","OK")))</f>
        <v/>
      </c>
    </row>
    <row r="520">
      <c r="B520" s="7" t="n"/>
      <c r="C520" s="7" t="n"/>
      <c r="D520" s="7">
        <f>IF(OR(B520="",C520=""),"",B520+C520)</f>
        <v/>
      </c>
      <c r="E520" s="7">
        <f>IF(D520="","",MAX($D$2:D520))</f>
        <v/>
      </c>
      <c r="F520" s="7">
        <f>IF(OR(E520="",D520=""),"",E520-D520)</f>
        <v/>
      </c>
      <c r="G520" s="8">
        <f>IF(OR(E520="",F520="",E520=0),"",F520/E520)</f>
        <v/>
      </c>
      <c r="H520" s="7" t="n"/>
      <c r="I520" s="7">
        <f>IF(OR(H520="",F520=""),"",H520-F520)</f>
        <v/>
      </c>
      <c r="J520">
        <f>IF(I520="","",IF(I520&lt;=0,"BREACH",IF(I520&lt;=500,"WARNING","OK")))</f>
        <v/>
      </c>
    </row>
    <row r="521">
      <c r="B521" s="7" t="n"/>
      <c r="C521" s="7" t="n"/>
      <c r="D521" s="7">
        <f>IF(OR(B521="",C521=""),"",B521+C521)</f>
        <v/>
      </c>
      <c r="E521" s="7">
        <f>IF(D521="","",MAX($D$2:D521))</f>
        <v/>
      </c>
      <c r="F521" s="7">
        <f>IF(OR(E521="",D521=""),"",E521-D521)</f>
        <v/>
      </c>
      <c r="G521" s="8">
        <f>IF(OR(E521="",F521="",E521=0),"",F521/E521)</f>
        <v/>
      </c>
      <c r="H521" s="7" t="n"/>
      <c r="I521" s="7">
        <f>IF(OR(H521="",F521=""),"",H521-F521)</f>
        <v/>
      </c>
      <c r="J521">
        <f>IF(I521="","",IF(I521&lt;=0,"BREACH",IF(I521&lt;=500,"WARNING","OK")))</f>
        <v/>
      </c>
    </row>
    <row r="522">
      <c r="B522" s="7" t="n"/>
      <c r="C522" s="7" t="n"/>
      <c r="D522" s="7">
        <f>IF(OR(B522="",C522=""),"",B522+C522)</f>
        <v/>
      </c>
      <c r="E522" s="7">
        <f>IF(D522="","",MAX($D$2:D522))</f>
        <v/>
      </c>
      <c r="F522" s="7">
        <f>IF(OR(E522="",D522=""),"",E522-D522)</f>
        <v/>
      </c>
      <c r="G522" s="8">
        <f>IF(OR(E522="",F522="",E522=0),"",F522/E522)</f>
        <v/>
      </c>
      <c r="H522" s="7" t="n"/>
      <c r="I522" s="7">
        <f>IF(OR(H522="",F522=""),"",H522-F522)</f>
        <v/>
      </c>
      <c r="J522">
        <f>IF(I522="","",IF(I522&lt;=0,"BREACH",IF(I522&lt;=500,"WARNING","OK")))</f>
        <v/>
      </c>
    </row>
    <row r="523">
      <c r="B523" s="7" t="n"/>
      <c r="C523" s="7" t="n"/>
      <c r="D523" s="7">
        <f>IF(OR(B523="",C523=""),"",B523+C523)</f>
        <v/>
      </c>
      <c r="E523" s="7">
        <f>IF(D523="","",MAX($D$2:D523))</f>
        <v/>
      </c>
      <c r="F523" s="7">
        <f>IF(OR(E523="",D523=""),"",E523-D523)</f>
        <v/>
      </c>
      <c r="G523" s="8">
        <f>IF(OR(E523="",F523="",E523=0),"",F523/E523)</f>
        <v/>
      </c>
      <c r="H523" s="7" t="n"/>
      <c r="I523" s="7">
        <f>IF(OR(H523="",F523=""),"",H523-F523)</f>
        <v/>
      </c>
      <c r="J523">
        <f>IF(I523="","",IF(I523&lt;=0,"BREACH",IF(I523&lt;=500,"WARNING","OK")))</f>
        <v/>
      </c>
    </row>
    <row r="524">
      <c r="B524" s="7" t="n"/>
      <c r="C524" s="7" t="n"/>
      <c r="D524" s="7">
        <f>IF(OR(B524="",C524=""),"",B524+C524)</f>
        <v/>
      </c>
      <c r="E524" s="7">
        <f>IF(D524="","",MAX($D$2:D524))</f>
        <v/>
      </c>
      <c r="F524" s="7">
        <f>IF(OR(E524="",D524=""),"",E524-D524)</f>
        <v/>
      </c>
      <c r="G524" s="8">
        <f>IF(OR(E524="",F524="",E524=0),"",F524/E524)</f>
        <v/>
      </c>
      <c r="H524" s="7" t="n"/>
      <c r="I524" s="7">
        <f>IF(OR(H524="",F524=""),"",H524-F524)</f>
        <v/>
      </c>
      <c r="J524">
        <f>IF(I524="","",IF(I524&lt;=0,"BREACH",IF(I524&lt;=500,"WARNING","OK")))</f>
        <v/>
      </c>
    </row>
    <row r="525">
      <c r="B525" s="7" t="n"/>
      <c r="C525" s="7" t="n"/>
      <c r="D525" s="7">
        <f>IF(OR(B525="",C525=""),"",B525+C525)</f>
        <v/>
      </c>
      <c r="E525" s="7">
        <f>IF(D525="","",MAX($D$2:D525))</f>
        <v/>
      </c>
      <c r="F525" s="7">
        <f>IF(OR(E525="",D525=""),"",E525-D525)</f>
        <v/>
      </c>
      <c r="G525" s="8">
        <f>IF(OR(E525="",F525="",E525=0),"",F525/E525)</f>
        <v/>
      </c>
      <c r="H525" s="7" t="n"/>
      <c r="I525" s="7">
        <f>IF(OR(H525="",F525=""),"",H525-F525)</f>
        <v/>
      </c>
      <c r="J525">
        <f>IF(I525="","",IF(I525&lt;=0,"BREACH",IF(I525&lt;=500,"WARNING","OK")))</f>
        <v/>
      </c>
    </row>
    <row r="526">
      <c r="B526" s="7" t="n"/>
      <c r="C526" s="7" t="n"/>
      <c r="D526" s="7">
        <f>IF(OR(B526="",C526=""),"",B526+C526)</f>
        <v/>
      </c>
      <c r="E526" s="7">
        <f>IF(D526="","",MAX($D$2:D526))</f>
        <v/>
      </c>
      <c r="F526" s="7">
        <f>IF(OR(E526="",D526=""),"",E526-D526)</f>
        <v/>
      </c>
      <c r="G526" s="8">
        <f>IF(OR(E526="",F526="",E526=0),"",F526/E526)</f>
        <v/>
      </c>
      <c r="H526" s="7" t="n"/>
      <c r="I526" s="7">
        <f>IF(OR(H526="",F526=""),"",H526-F526)</f>
        <v/>
      </c>
      <c r="J526">
        <f>IF(I526="","",IF(I526&lt;=0,"BREACH",IF(I526&lt;=500,"WARNING","OK")))</f>
        <v/>
      </c>
    </row>
    <row r="527">
      <c r="B527" s="7" t="n"/>
      <c r="C527" s="7" t="n"/>
      <c r="D527" s="7">
        <f>IF(OR(B527="",C527=""),"",B527+C527)</f>
        <v/>
      </c>
      <c r="E527" s="7">
        <f>IF(D527="","",MAX($D$2:D527))</f>
        <v/>
      </c>
      <c r="F527" s="7">
        <f>IF(OR(E527="",D527=""),"",E527-D527)</f>
        <v/>
      </c>
      <c r="G527" s="8">
        <f>IF(OR(E527="",F527="",E527=0),"",F527/E527)</f>
        <v/>
      </c>
      <c r="H527" s="7" t="n"/>
      <c r="I527" s="7">
        <f>IF(OR(H527="",F527=""),"",H527-F527)</f>
        <v/>
      </c>
      <c r="J527">
        <f>IF(I527="","",IF(I527&lt;=0,"BREACH",IF(I527&lt;=500,"WARNING","OK")))</f>
        <v/>
      </c>
    </row>
    <row r="528">
      <c r="B528" s="7" t="n"/>
      <c r="C528" s="7" t="n"/>
      <c r="D528" s="7">
        <f>IF(OR(B528="",C528=""),"",B528+C528)</f>
        <v/>
      </c>
      <c r="E528" s="7">
        <f>IF(D528="","",MAX($D$2:D528))</f>
        <v/>
      </c>
      <c r="F528" s="7">
        <f>IF(OR(E528="",D528=""),"",E528-D528)</f>
        <v/>
      </c>
      <c r="G528" s="8">
        <f>IF(OR(E528="",F528="",E528=0),"",F528/E528)</f>
        <v/>
      </c>
      <c r="H528" s="7" t="n"/>
      <c r="I528" s="7">
        <f>IF(OR(H528="",F528=""),"",H528-F528)</f>
        <v/>
      </c>
      <c r="J528">
        <f>IF(I528="","",IF(I528&lt;=0,"BREACH",IF(I528&lt;=500,"WARNING","OK")))</f>
        <v/>
      </c>
    </row>
    <row r="529">
      <c r="B529" s="7" t="n"/>
      <c r="C529" s="7" t="n"/>
      <c r="D529" s="7">
        <f>IF(OR(B529="",C529=""),"",B529+C529)</f>
        <v/>
      </c>
      <c r="E529" s="7">
        <f>IF(D529="","",MAX($D$2:D529))</f>
        <v/>
      </c>
      <c r="F529" s="7">
        <f>IF(OR(E529="",D529=""),"",E529-D529)</f>
        <v/>
      </c>
      <c r="G529" s="8">
        <f>IF(OR(E529="",F529="",E529=0),"",F529/E529)</f>
        <v/>
      </c>
      <c r="H529" s="7" t="n"/>
      <c r="I529" s="7">
        <f>IF(OR(H529="",F529=""),"",H529-F529)</f>
        <v/>
      </c>
      <c r="J529">
        <f>IF(I529="","",IF(I529&lt;=0,"BREACH",IF(I529&lt;=500,"WARNING","OK")))</f>
        <v/>
      </c>
    </row>
    <row r="530">
      <c r="B530" s="7" t="n"/>
      <c r="C530" s="7" t="n"/>
      <c r="D530" s="7">
        <f>IF(OR(B530="",C530=""),"",B530+C530)</f>
        <v/>
      </c>
      <c r="E530" s="7">
        <f>IF(D530="","",MAX($D$2:D530))</f>
        <v/>
      </c>
      <c r="F530" s="7">
        <f>IF(OR(E530="",D530=""),"",E530-D530)</f>
        <v/>
      </c>
      <c r="G530" s="8">
        <f>IF(OR(E530="",F530="",E530=0),"",F530/E530)</f>
        <v/>
      </c>
      <c r="H530" s="7" t="n"/>
      <c r="I530" s="7">
        <f>IF(OR(H530="",F530=""),"",H530-F530)</f>
        <v/>
      </c>
      <c r="J530">
        <f>IF(I530="","",IF(I530&lt;=0,"BREACH",IF(I530&lt;=500,"WARNING","OK")))</f>
        <v/>
      </c>
    </row>
    <row r="531">
      <c r="B531" s="7" t="n"/>
      <c r="C531" s="7" t="n"/>
      <c r="D531" s="7">
        <f>IF(OR(B531="",C531=""),"",B531+C531)</f>
        <v/>
      </c>
      <c r="E531" s="7">
        <f>IF(D531="","",MAX($D$2:D531))</f>
        <v/>
      </c>
      <c r="F531" s="7">
        <f>IF(OR(E531="",D531=""),"",E531-D531)</f>
        <v/>
      </c>
      <c r="G531" s="8">
        <f>IF(OR(E531="",F531="",E531=0),"",F531/E531)</f>
        <v/>
      </c>
      <c r="H531" s="7" t="n"/>
      <c r="I531" s="7">
        <f>IF(OR(H531="",F531=""),"",H531-F531)</f>
        <v/>
      </c>
      <c r="J531">
        <f>IF(I531="","",IF(I531&lt;=0,"BREACH",IF(I531&lt;=500,"WARNING","OK")))</f>
        <v/>
      </c>
    </row>
    <row r="532">
      <c r="B532" s="7" t="n"/>
      <c r="C532" s="7" t="n"/>
      <c r="D532" s="7">
        <f>IF(OR(B532="",C532=""),"",B532+C532)</f>
        <v/>
      </c>
      <c r="E532" s="7">
        <f>IF(D532="","",MAX($D$2:D532))</f>
        <v/>
      </c>
      <c r="F532" s="7">
        <f>IF(OR(E532="",D532=""),"",E532-D532)</f>
        <v/>
      </c>
      <c r="G532" s="8">
        <f>IF(OR(E532="",F532="",E532=0),"",F532/E532)</f>
        <v/>
      </c>
      <c r="H532" s="7" t="n"/>
      <c r="I532" s="7">
        <f>IF(OR(H532="",F532=""),"",H532-F532)</f>
        <v/>
      </c>
      <c r="J532">
        <f>IF(I532="","",IF(I532&lt;=0,"BREACH",IF(I532&lt;=500,"WARNING","OK")))</f>
        <v/>
      </c>
    </row>
    <row r="533">
      <c r="B533" s="7" t="n"/>
      <c r="C533" s="7" t="n"/>
      <c r="D533" s="7">
        <f>IF(OR(B533="",C533=""),"",B533+C533)</f>
        <v/>
      </c>
      <c r="E533" s="7">
        <f>IF(D533="","",MAX($D$2:D533))</f>
        <v/>
      </c>
      <c r="F533" s="7">
        <f>IF(OR(E533="",D533=""),"",E533-D533)</f>
        <v/>
      </c>
      <c r="G533" s="8">
        <f>IF(OR(E533="",F533="",E533=0),"",F533/E533)</f>
        <v/>
      </c>
      <c r="H533" s="7" t="n"/>
      <c r="I533" s="7">
        <f>IF(OR(H533="",F533=""),"",H533-F533)</f>
        <v/>
      </c>
      <c r="J533">
        <f>IF(I533="","",IF(I533&lt;=0,"BREACH",IF(I533&lt;=500,"WARNING","OK")))</f>
        <v/>
      </c>
    </row>
    <row r="534">
      <c r="B534" s="7" t="n"/>
      <c r="C534" s="7" t="n"/>
      <c r="D534" s="7">
        <f>IF(OR(B534="",C534=""),"",B534+C534)</f>
        <v/>
      </c>
      <c r="E534" s="7">
        <f>IF(D534="","",MAX($D$2:D534))</f>
        <v/>
      </c>
      <c r="F534" s="7">
        <f>IF(OR(E534="",D534=""),"",E534-D534)</f>
        <v/>
      </c>
      <c r="G534" s="8">
        <f>IF(OR(E534="",F534="",E534=0),"",F534/E534)</f>
        <v/>
      </c>
      <c r="H534" s="7" t="n"/>
      <c r="I534" s="7">
        <f>IF(OR(H534="",F534=""),"",H534-F534)</f>
        <v/>
      </c>
      <c r="J534">
        <f>IF(I534="","",IF(I534&lt;=0,"BREACH",IF(I534&lt;=500,"WARNING","OK")))</f>
        <v/>
      </c>
    </row>
    <row r="535">
      <c r="B535" s="7" t="n"/>
      <c r="C535" s="7" t="n"/>
      <c r="D535" s="7">
        <f>IF(OR(B535="",C535=""),"",B535+C535)</f>
        <v/>
      </c>
      <c r="E535" s="7">
        <f>IF(D535="","",MAX($D$2:D535))</f>
        <v/>
      </c>
      <c r="F535" s="7">
        <f>IF(OR(E535="",D535=""),"",E535-D535)</f>
        <v/>
      </c>
      <c r="G535" s="8">
        <f>IF(OR(E535="",F535="",E535=0),"",F535/E535)</f>
        <v/>
      </c>
      <c r="H535" s="7" t="n"/>
      <c r="I535" s="7">
        <f>IF(OR(H535="",F535=""),"",H535-F535)</f>
        <v/>
      </c>
      <c r="J535">
        <f>IF(I535="","",IF(I535&lt;=0,"BREACH",IF(I535&lt;=500,"WARNING","OK")))</f>
        <v/>
      </c>
    </row>
    <row r="536">
      <c r="B536" s="7" t="n"/>
      <c r="C536" s="7" t="n"/>
      <c r="D536" s="7">
        <f>IF(OR(B536="",C536=""),"",B536+C536)</f>
        <v/>
      </c>
      <c r="E536" s="7">
        <f>IF(D536="","",MAX($D$2:D536))</f>
        <v/>
      </c>
      <c r="F536" s="7">
        <f>IF(OR(E536="",D536=""),"",E536-D536)</f>
        <v/>
      </c>
      <c r="G536" s="8">
        <f>IF(OR(E536="",F536="",E536=0),"",F536/E536)</f>
        <v/>
      </c>
      <c r="H536" s="7" t="n"/>
      <c r="I536" s="7">
        <f>IF(OR(H536="",F536=""),"",H536-F536)</f>
        <v/>
      </c>
      <c r="J536">
        <f>IF(I536="","",IF(I536&lt;=0,"BREACH",IF(I536&lt;=500,"WARNING","OK")))</f>
        <v/>
      </c>
    </row>
    <row r="537">
      <c r="B537" s="7" t="n"/>
      <c r="C537" s="7" t="n"/>
      <c r="D537" s="7">
        <f>IF(OR(B537="",C537=""),"",B537+C537)</f>
        <v/>
      </c>
      <c r="E537" s="7">
        <f>IF(D537="","",MAX($D$2:D537))</f>
        <v/>
      </c>
      <c r="F537" s="7">
        <f>IF(OR(E537="",D537=""),"",E537-D537)</f>
        <v/>
      </c>
      <c r="G537" s="8">
        <f>IF(OR(E537="",F537="",E537=0),"",F537/E537)</f>
        <v/>
      </c>
      <c r="H537" s="7" t="n"/>
      <c r="I537" s="7">
        <f>IF(OR(H537="",F537=""),"",H537-F537)</f>
        <v/>
      </c>
      <c r="J537">
        <f>IF(I537="","",IF(I537&lt;=0,"BREACH",IF(I537&lt;=500,"WARNING","OK")))</f>
        <v/>
      </c>
    </row>
    <row r="538">
      <c r="B538" s="7" t="n"/>
      <c r="C538" s="7" t="n"/>
      <c r="D538" s="7">
        <f>IF(OR(B538="",C538=""),"",B538+C538)</f>
        <v/>
      </c>
      <c r="E538" s="7">
        <f>IF(D538="","",MAX($D$2:D538))</f>
        <v/>
      </c>
      <c r="F538" s="7">
        <f>IF(OR(E538="",D538=""),"",E538-D538)</f>
        <v/>
      </c>
      <c r="G538" s="8">
        <f>IF(OR(E538="",F538="",E538=0),"",F538/E538)</f>
        <v/>
      </c>
      <c r="H538" s="7" t="n"/>
      <c r="I538" s="7">
        <f>IF(OR(H538="",F538=""),"",H538-F538)</f>
        <v/>
      </c>
      <c r="J538">
        <f>IF(I538="","",IF(I538&lt;=0,"BREACH",IF(I538&lt;=500,"WARNING","OK")))</f>
        <v/>
      </c>
    </row>
    <row r="539">
      <c r="B539" s="7" t="n"/>
      <c r="C539" s="7" t="n"/>
      <c r="D539" s="7">
        <f>IF(OR(B539="",C539=""),"",B539+C539)</f>
        <v/>
      </c>
      <c r="E539" s="7">
        <f>IF(D539="","",MAX($D$2:D539))</f>
        <v/>
      </c>
      <c r="F539" s="7">
        <f>IF(OR(E539="",D539=""),"",E539-D539)</f>
        <v/>
      </c>
      <c r="G539" s="8">
        <f>IF(OR(E539="",F539="",E539=0),"",F539/E539)</f>
        <v/>
      </c>
      <c r="H539" s="7" t="n"/>
      <c r="I539" s="7">
        <f>IF(OR(H539="",F539=""),"",H539-F539)</f>
        <v/>
      </c>
      <c r="J539">
        <f>IF(I539="","",IF(I539&lt;=0,"BREACH",IF(I539&lt;=500,"WARNING","OK")))</f>
        <v/>
      </c>
    </row>
    <row r="540">
      <c r="B540" s="7" t="n"/>
      <c r="C540" s="7" t="n"/>
      <c r="D540" s="7">
        <f>IF(OR(B540="",C540=""),"",B540+C540)</f>
        <v/>
      </c>
      <c r="E540" s="7">
        <f>IF(D540="","",MAX($D$2:D540))</f>
        <v/>
      </c>
      <c r="F540" s="7">
        <f>IF(OR(E540="",D540=""),"",E540-D540)</f>
        <v/>
      </c>
      <c r="G540" s="8">
        <f>IF(OR(E540="",F540="",E540=0),"",F540/E540)</f>
        <v/>
      </c>
      <c r="H540" s="7" t="n"/>
      <c r="I540" s="7">
        <f>IF(OR(H540="",F540=""),"",H540-F540)</f>
        <v/>
      </c>
      <c r="J540">
        <f>IF(I540="","",IF(I540&lt;=0,"BREACH",IF(I540&lt;=500,"WARNING","OK")))</f>
        <v/>
      </c>
    </row>
    <row r="541">
      <c r="B541" s="7" t="n"/>
      <c r="C541" s="7" t="n"/>
      <c r="D541" s="7">
        <f>IF(OR(B541="",C541=""),"",B541+C541)</f>
        <v/>
      </c>
      <c r="E541" s="7">
        <f>IF(D541="","",MAX($D$2:D541))</f>
        <v/>
      </c>
      <c r="F541" s="7">
        <f>IF(OR(E541="",D541=""),"",E541-D541)</f>
        <v/>
      </c>
      <c r="G541" s="8">
        <f>IF(OR(E541="",F541="",E541=0),"",F541/E541)</f>
        <v/>
      </c>
      <c r="H541" s="7" t="n"/>
      <c r="I541" s="7">
        <f>IF(OR(H541="",F541=""),"",H541-F541)</f>
        <v/>
      </c>
      <c r="J541">
        <f>IF(I541="","",IF(I541&lt;=0,"BREACH",IF(I541&lt;=500,"WARNING","OK")))</f>
        <v/>
      </c>
    </row>
    <row r="542">
      <c r="B542" s="7" t="n"/>
      <c r="C542" s="7" t="n"/>
      <c r="D542" s="7">
        <f>IF(OR(B542="",C542=""),"",B542+C542)</f>
        <v/>
      </c>
      <c r="E542" s="7">
        <f>IF(D542="","",MAX($D$2:D542))</f>
        <v/>
      </c>
      <c r="F542" s="7">
        <f>IF(OR(E542="",D542=""),"",E542-D542)</f>
        <v/>
      </c>
      <c r="G542" s="8">
        <f>IF(OR(E542="",F542="",E542=0),"",F542/E542)</f>
        <v/>
      </c>
      <c r="H542" s="7" t="n"/>
      <c r="I542" s="7">
        <f>IF(OR(H542="",F542=""),"",H542-F542)</f>
        <v/>
      </c>
      <c r="J542">
        <f>IF(I542="","",IF(I542&lt;=0,"BREACH",IF(I542&lt;=500,"WARNING","OK")))</f>
        <v/>
      </c>
    </row>
    <row r="543">
      <c r="B543" s="7" t="n"/>
      <c r="C543" s="7" t="n"/>
      <c r="D543" s="7">
        <f>IF(OR(B543="",C543=""),"",B543+C543)</f>
        <v/>
      </c>
      <c r="E543" s="7">
        <f>IF(D543="","",MAX($D$2:D543))</f>
        <v/>
      </c>
      <c r="F543" s="7">
        <f>IF(OR(E543="",D543=""),"",E543-D543)</f>
        <v/>
      </c>
      <c r="G543" s="8">
        <f>IF(OR(E543="",F543="",E543=0),"",F543/E543)</f>
        <v/>
      </c>
      <c r="H543" s="7" t="n"/>
      <c r="I543" s="7">
        <f>IF(OR(H543="",F543=""),"",H543-F543)</f>
        <v/>
      </c>
      <c r="J543">
        <f>IF(I543="","",IF(I543&lt;=0,"BREACH",IF(I543&lt;=500,"WARNING","OK")))</f>
        <v/>
      </c>
    </row>
    <row r="544">
      <c r="B544" s="7" t="n"/>
      <c r="C544" s="7" t="n"/>
      <c r="D544" s="7">
        <f>IF(OR(B544="",C544=""),"",B544+C544)</f>
        <v/>
      </c>
      <c r="E544" s="7">
        <f>IF(D544="","",MAX($D$2:D544))</f>
        <v/>
      </c>
      <c r="F544" s="7">
        <f>IF(OR(E544="",D544=""),"",E544-D544)</f>
        <v/>
      </c>
      <c r="G544" s="8">
        <f>IF(OR(E544="",F544="",E544=0),"",F544/E544)</f>
        <v/>
      </c>
      <c r="H544" s="7" t="n"/>
      <c r="I544" s="7">
        <f>IF(OR(H544="",F544=""),"",H544-F544)</f>
        <v/>
      </c>
      <c r="J544">
        <f>IF(I544="","",IF(I544&lt;=0,"BREACH",IF(I544&lt;=500,"WARNING","OK")))</f>
        <v/>
      </c>
    </row>
    <row r="545">
      <c r="B545" s="7" t="n"/>
      <c r="C545" s="7" t="n"/>
      <c r="D545" s="7">
        <f>IF(OR(B545="",C545=""),"",B545+C545)</f>
        <v/>
      </c>
      <c r="E545" s="7">
        <f>IF(D545="","",MAX($D$2:D545))</f>
        <v/>
      </c>
      <c r="F545" s="7">
        <f>IF(OR(E545="",D545=""),"",E545-D545)</f>
        <v/>
      </c>
      <c r="G545" s="8">
        <f>IF(OR(E545="",F545="",E545=0),"",F545/E545)</f>
        <v/>
      </c>
      <c r="H545" s="7" t="n"/>
      <c r="I545" s="7">
        <f>IF(OR(H545="",F545=""),"",H545-F545)</f>
        <v/>
      </c>
      <c r="J545">
        <f>IF(I545="","",IF(I545&lt;=0,"BREACH",IF(I545&lt;=500,"WARNING","OK")))</f>
        <v/>
      </c>
    </row>
    <row r="546">
      <c r="B546" s="7" t="n"/>
      <c r="C546" s="7" t="n"/>
      <c r="D546" s="7">
        <f>IF(OR(B546="",C546=""),"",B546+C546)</f>
        <v/>
      </c>
      <c r="E546" s="7">
        <f>IF(D546="","",MAX($D$2:D546))</f>
        <v/>
      </c>
      <c r="F546" s="7">
        <f>IF(OR(E546="",D546=""),"",E546-D546)</f>
        <v/>
      </c>
      <c r="G546" s="8">
        <f>IF(OR(E546="",F546="",E546=0),"",F546/E546)</f>
        <v/>
      </c>
      <c r="H546" s="7" t="n"/>
      <c r="I546" s="7">
        <f>IF(OR(H546="",F546=""),"",H546-F546)</f>
        <v/>
      </c>
      <c r="J546">
        <f>IF(I546="","",IF(I546&lt;=0,"BREACH",IF(I546&lt;=500,"WARNING","OK")))</f>
        <v/>
      </c>
    </row>
    <row r="547">
      <c r="B547" s="7" t="n"/>
      <c r="C547" s="7" t="n"/>
      <c r="D547" s="7">
        <f>IF(OR(B547="",C547=""),"",B547+C547)</f>
        <v/>
      </c>
      <c r="E547" s="7">
        <f>IF(D547="","",MAX($D$2:D547))</f>
        <v/>
      </c>
      <c r="F547" s="7">
        <f>IF(OR(E547="",D547=""),"",E547-D547)</f>
        <v/>
      </c>
      <c r="G547" s="8">
        <f>IF(OR(E547="",F547="",E547=0),"",F547/E547)</f>
        <v/>
      </c>
      <c r="H547" s="7" t="n"/>
      <c r="I547" s="7">
        <f>IF(OR(H547="",F547=""),"",H547-F547)</f>
        <v/>
      </c>
      <c r="J547">
        <f>IF(I547="","",IF(I547&lt;=0,"BREACH",IF(I547&lt;=500,"WARNING","OK")))</f>
        <v/>
      </c>
    </row>
    <row r="548">
      <c r="B548" s="7" t="n"/>
      <c r="C548" s="7" t="n"/>
      <c r="D548" s="7">
        <f>IF(OR(B548="",C548=""),"",B548+C548)</f>
        <v/>
      </c>
      <c r="E548" s="7">
        <f>IF(D548="","",MAX($D$2:D548))</f>
        <v/>
      </c>
      <c r="F548" s="7">
        <f>IF(OR(E548="",D548=""),"",E548-D548)</f>
        <v/>
      </c>
      <c r="G548" s="8">
        <f>IF(OR(E548="",F548="",E548=0),"",F548/E548)</f>
        <v/>
      </c>
      <c r="H548" s="7" t="n"/>
      <c r="I548" s="7">
        <f>IF(OR(H548="",F548=""),"",H548-F548)</f>
        <v/>
      </c>
      <c r="J548">
        <f>IF(I548="","",IF(I548&lt;=0,"BREACH",IF(I548&lt;=500,"WARNING","OK")))</f>
        <v/>
      </c>
    </row>
    <row r="549">
      <c r="B549" s="7" t="n"/>
      <c r="C549" s="7" t="n"/>
      <c r="D549" s="7">
        <f>IF(OR(B549="",C549=""),"",B549+C549)</f>
        <v/>
      </c>
      <c r="E549" s="7">
        <f>IF(D549="","",MAX($D$2:D549))</f>
        <v/>
      </c>
      <c r="F549" s="7">
        <f>IF(OR(E549="",D549=""),"",E549-D549)</f>
        <v/>
      </c>
      <c r="G549" s="8">
        <f>IF(OR(E549="",F549="",E549=0),"",F549/E549)</f>
        <v/>
      </c>
      <c r="H549" s="7" t="n"/>
      <c r="I549" s="7">
        <f>IF(OR(H549="",F549=""),"",H549-F549)</f>
        <v/>
      </c>
      <c r="J549">
        <f>IF(I549="","",IF(I549&lt;=0,"BREACH",IF(I549&lt;=500,"WARNING","OK")))</f>
        <v/>
      </c>
    </row>
    <row r="550">
      <c r="B550" s="7" t="n"/>
      <c r="C550" s="7" t="n"/>
      <c r="D550" s="7">
        <f>IF(OR(B550="",C550=""),"",B550+C550)</f>
        <v/>
      </c>
      <c r="E550" s="7">
        <f>IF(D550="","",MAX($D$2:D550))</f>
        <v/>
      </c>
      <c r="F550" s="7">
        <f>IF(OR(E550="",D550=""),"",E550-D550)</f>
        <v/>
      </c>
      <c r="G550" s="8">
        <f>IF(OR(E550="",F550="",E550=0),"",F550/E550)</f>
        <v/>
      </c>
      <c r="H550" s="7" t="n"/>
      <c r="I550" s="7">
        <f>IF(OR(H550="",F550=""),"",H550-F550)</f>
        <v/>
      </c>
      <c r="J550">
        <f>IF(I550="","",IF(I550&lt;=0,"BREACH",IF(I550&lt;=500,"WARNING","OK")))</f>
        <v/>
      </c>
    </row>
    <row r="551">
      <c r="B551" s="7" t="n"/>
      <c r="C551" s="7" t="n"/>
      <c r="D551" s="7">
        <f>IF(OR(B551="",C551=""),"",B551+C551)</f>
        <v/>
      </c>
      <c r="E551" s="7">
        <f>IF(D551="","",MAX($D$2:D551))</f>
        <v/>
      </c>
      <c r="F551" s="7">
        <f>IF(OR(E551="",D551=""),"",E551-D551)</f>
        <v/>
      </c>
      <c r="G551" s="8">
        <f>IF(OR(E551="",F551="",E551=0),"",F551/E551)</f>
        <v/>
      </c>
      <c r="H551" s="7" t="n"/>
      <c r="I551" s="7">
        <f>IF(OR(H551="",F551=""),"",H551-F551)</f>
        <v/>
      </c>
      <c r="J551">
        <f>IF(I551="","",IF(I551&lt;=0,"BREACH",IF(I551&lt;=500,"WARNING","OK")))</f>
        <v/>
      </c>
    </row>
    <row r="552">
      <c r="B552" s="7" t="n"/>
      <c r="C552" s="7" t="n"/>
      <c r="D552" s="7">
        <f>IF(OR(B552="",C552=""),"",B552+C552)</f>
        <v/>
      </c>
      <c r="E552" s="7">
        <f>IF(D552="","",MAX($D$2:D552))</f>
        <v/>
      </c>
      <c r="F552" s="7">
        <f>IF(OR(E552="",D552=""),"",E552-D552)</f>
        <v/>
      </c>
      <c r="G552" s="8">
        <f>IF(OR(E552="",F552="",E552=0),"",F552/E552)</f>
        <v/>
      </c>
      <c r="H552" s="7" t="n"/>
      <c r="I552" s="7">
        <f>IF(OR(H552="",F552=""),"",H552-F552)</f>
        <v/>
      </c>
      <c r="J552">
        <f>IF(I552="","",IF(I552&lt;=0,"BREACH",IF(I552&lt;=500,"WARNING","OK")))</f>
        <v/>
      </c>
    </row>
    <row r="553">
      <c r="B553" s="7" t="n"/>
      <c r="C553" s="7" t="n"/>
      <c r="D553" s="7">
        <f>IF(OR(B553="",C553=""),"",B553+C553)</f>
        <v/>
      </c>
      <c r="E553" s="7">
        <f>IF(D553="","",MAX($D$2:D553))</f>
        <v/>
      </c>
      <c r="F553" s="7">
        <f>IF(OR(E553="",D553=""),"",E553-D553)</f>
        <v/>
      </c>
      <c r="G553" s="8">
        <f>IF(OR(E553="",F553="",E553=0),"",F553/E553)</f>
        <v/>
      </c>
      <c r="H553" s="7" t="n"/>
      <c r="I553" s="7">
        <f>IF(OR(H553="",F553=""),"",H553-F553)</f>
        <v/>
      </c>
      <c r="J553">
        <f>IF(I553="","",IF(I553&lt;=0,"BREACH",IF(I553&lt;=500,"WARNING","OK")))</f>
        <v/>
      </c>
    </row>
    <row r="554">
      <c r="B554" s="7" t="n"/>
      <c r="C554" s="7" t="n"/>
      <c r="D554" s="7">
        <f>IF(OR(B554="",C554=""),"",B554+C554)</f>
        <v/>
      </c>
      <c r="E554" s="7">
        <f>IF(D554="","",MAX($D$2:D554))</f>
        <v/>
      </c>
      <c r="F554" s="7">
        <f>IF(OR(E554="",D554=""),"",E554-D554)</f>
        <v/>
      </c>
      <c r="G554" s="8">
        <f>IF(OR(E554="",F554="",E554=0),"",F554/E554)</f>
        <v/>
      </c>
      <c r="H554" s="7" t="n"/>
      <c r="I554" s="7">
        <f>IF(OR(H554="",F554=""),"",H554-F554)</f>
        <v/>
      </c>
      <c r="J554">
        <f>IF(I554="","",IF(I554&lt;=0,"BREACH",IF(I554&lt;=500,"WARNING","OK")))</f>
        <v/>
      </c>
    </row>
    <row r="555">
      <c r="B555" s="7" t="n"/>
      <c r="C555" s="7" t="n"/>
      <c r="D555" s="7">
        <f>IF(OR(B555="",C555=""),"",B555+C555)</f>
        <v/>
      </c>
      <c r="E555" s="7">
        <f>IF(D555="","",MAX($D$2:D555))</f>
        <v/>
      </c>
      <c r="F555" s="7">
        <f>IF(OR(E555="",D555=""),"",E555-D555)</f>
        <v/>
      </c>
      <c r="G555" s="8">
        <f>IF(OR(E555="",F555="",E555=0),"",F555/E555)</f>
        <v/>
      </c>
      <c r="H555" s="7" t="n"/>
      <c r="I555" s="7">
        <f>IF(OR(H555="",F555=""),"",H555-F555)</f>
        <v/>
      </c>
      <c r="J555">
        <f>IF(I555="","",IF(I555&lt;=0,"BREACH",IF(I555&lt;=500,"WARNING","OK")))</f>
        <v/>
      </c>
    </row>
    <row r="556">
      <c r="B556" s="7" t="n"/>
      <c r="C556" s="7" t="n"/>
      <c r="D556" s="7">
        <f>IF(OR(B556="",C556=""),"",B556+C556)</f>
        <v/>
      </c>
      <c r="E556" s="7">
        <f>IF(D556="","",MAX($D$2:D556))</f>
        <v/>
      </c>
      <c r="F556" s="7">
        <f>IF(OR(E556="",D556=""),"",E556-D556)</f>
        <v/>
      </c>
      <c r="G556" s="8">
        <f>IF(OR(E556="",F556="",E556=0),"",F556/E556)</f>
        <v/>
      </c>
      <c r="H556" s="7" t="n"/>
      <c r="I556" s="7">
        <f>IF(OR(H556="",F556=""),"",H556-F556)</f>
        <v/>
      </c>
      <c r="J556">
        <f>IF(I556="","",IF(I556&lt;=0,"BREACH",IF(I556&lt;=500,"WARNING","OK")))</f>
        <v/>
      </c>
    </row>
    <row r="557">
      <c r="B557" s="7" t="n"/>
      <c r="C557" s="7" t="n"/>
      <c r="D557" s="7">
        <f>IF(OR(B557="",C557=""),"",B557+C557)</f>
        <v/>
      </c>
      <c r="E557" s="7">
        <f>IF(D557="","",MAX($D$2:D557))</f>
        <v/>
      </c>
      <c r="F557" s="7">
        <f>IF(OR(E557="",D557=""),"",E557-D557)</f>
        <v/>
      </c>
      <c r="G557" s="8">
        <f>IF(OR(E557="",F557="",E557=0),"",F557/E557)</f>
        <v/>
      </c>
      <c r="H557" s="7" t="n"/>
      <c r="I557" s="7">
        <f>IF(OR(H557="",F557=""),"",H557-F557)</f>
        <v/>
      </c>
      <c r="J557">
        <f>IF(I557="","",IF(I557&lt;=0,"BREACH",IF(I557&lt;=500,"WARNING","OK")))</f>
        <v/>
      </c>
    </row>
    <row r="558">
      <c r="B558" s="7" t="n"/>
      <c r="C558" s="7" t="n"/>
      <c r="D558" s="7">
        <f>IF(OR(B558="",C558=""),"",B558+C558)</f>
        <v/>
      </c>
      <c r="E558" s="7">
        <f>IF(D558="","",MAX($D$2:D558))</f>
        <v/>
      </c>
      <c r="F558" s="7">
        <f>IF(OR(E558="",D558=""),"",E558-D558)</f>
        <v/>
      </c>
      <c r="G558" s="8">
        <f>IF(OR(E558="",F558="",E558=0),"",F558/E558)</f>
        <v/>
      </c>
      <c r="H558" s="7" t="n"/>
      <c r="I558" s="7">
        <f>IF(OR(H558="",F558=""),"",H558-F558)</f>
        <v/>
      </c>
      <c r="J558">
        <f>IF(I558="","",IF(I558&lt;=0,"BREACH",IF(I558&lt;=500,"WARNING","OK")))</f>
        <v/>
      </c>
    </row>
    <row r="559">
      <c r="B559" s="7" t="n"/>
      <c r="C559" s="7" t="n"/>
      <c r="D559" s="7">
        <f>IF(OR(B559="",C559=""),"",B559+C559)</f>
        <v/>
      </c>
      <c r="E559" s="7">
        <f>IF(D559="","",MAX($D$2:D559))</f>
        <v/>
      </c>
      <c r="F559" s="7">
        <f>IF(OR(E559="",D559=""),"",E559-D559)</f>
        <v/>
      </c>
      <c r="G559" s="8">
        <f>IF(OR(E559="",F559="",E559=0),"",F559/E559)</f>
        <v/>
      </c>
      <c r="H559" s="7" t="n"/>
      <c r="I559" s="7">
        <f>IF(OR(H559="",F559=""),"",H559-F559)</f>
        <v/>
      </c>
      <c r="J559">
        <f>IF(I559="","",IF(I559&lt;=0,"BREACH",IF(I559&lt;=500,"WARNING","OK")))</f>
        <v/>
      </c>
    </row>
    <row r="560">
      <c r="B560" s="7" t="n"/>
      <c r="C560" s="7" t="n"/>
      <c r="D560" s="7">
        <f>IF(OR(B560="",C560=""),"",B560+C560)</f>
        <v/>
      </c>
      <c r="E560" s="7">
        <f>IF(D560="","",MAX($D$2:D560))</f>
        <v/>
      </c>
      <c r="F560" s="7">
        <f>IF(OR(E560="",D560=""),"",E560-D560)</f>
        <v/>
      </c>
      <c r="G560" s="8">
        <f>IF(OR(E560="",F560="",E560=0),"",F560/E560)</f>
        <v/>
      </c>
      <c r="H560" s="7" t="n"/>
      <c r="I560" s="7">
        <f>IF(OR(H560="",F560=""),"",H560-F560)</f>
        <v/>
      </c>
      <c r="J560">
        <f>IF(I560="","",IF(I560&lt;=0,"BREACH",IF(I560&lt;=500,"WARNING","OK")))</f>
        <v/>
      </c>
    </row>
    <row r="561">
      <c r="B561" s="7" t="n"/>
      <c r="C561" s="7" t="n"/>
      <c r="D561" s="7">
        <f>IF(OR(B561="",C561=""),"",B561+C561)</f>
        <v/>
      </c>
      <c r="E561" s="7">
        <f>IF(D561="","",MAX($D$2:D561))</f>
        <v/>
      </c>
      <c r="F561" s="7">
        <f>IF(OR(E561="",D561=""),"",E561-D561)</f>
        <v/>
      </c>
      <c r="G561" s="8">
        <f>IF(OR(E561="",F561="",E561=0),"",F561/E561)</f>
        <v/>
      </c>
      <c r="H561" s="7" t="n"/>
      <c r="I561" s="7">
        <f>IF(OR(H561="",F561=""),"",H561-F561)</f>
        <v/>
      </c>
      <c r="J561">
        <f>IF(I561="","",IF(I561&lt;=0,"BREACH",IF(I561&lt;=500,"WARNING","OK")))</f>
        <v/>
      </c>
    </row>
    <row r="562">
      <c r="B562" s="7" t="n"/>
      <c r="C562" s="7" t="n"/>
      <c r="D562" s="7">
        <f>IF(OR(B562="",C562=""),"",B562+C562)</f>
        <v/>
      </c>
      <c r="E562" s="7">
        <f>IF(D562="","",MAX($D$2:D562))</f>
        <v/>
      </c>
      <c r="F562" s="7">
        <f>IF(OR(E562="",D562=""),"",E562-D562)</f>
        <v/>
      </c>
      <c r="G562" s="8">
        <f>IF(OR(E562="",F562="",E562=0),"",F562/E562)</f>
        <v/>
      </c>
      <c r="H562" s="7" t="n"/>
      <c r="I562" s="7">
        <f>IF(OR(H562="",F562=""),"",H562-F562)</f>
        <v/>
      </c>
      <c r="J562">
        <f>IF(I562="","",IF(I562&lt;=0,"BREACH",IF(I562&lt;=500,"WARNING","OK")))</f>
        <v/>
      </c>
    </row>
    <row r="563">
      <c r="B563" s="7" t="n"/>
      <c r="C563" s="7" t="n"/>
      <c r="D563" s="7">
        <f>IF(OR(B563="",C563=""),"",B563+C563)</f>
        <v/>
      </c>
      <c r="E563" s="7">
        <f>IF(D563="","",MAX($D$2:D563))</f>
        <v/>
      </c>
      <c r="F563" s="7">
        <f>IF(OR(E563="",D563=""),"",E563-D563)</f>
        <v/>
      </c>
      <c r="G563" s="8">
        <f>IF(OR(E563="",F563="",E563=0),"",F563/E563)</f>
        <v/>
      </c>
      <c r="H563" s="7" t="n"/>
      <c r="I563" s="7">
        <f>IF(OR(H563="",F563=""),"",H563-F563)</f>
        <v/>
      </c>
      <c r="J563">
        <f>IF(I563="","",IF(I563&lt;=0,"BREACH",IF(I563&lt;=500,"WARNING","OK")))</f>
        <v/>
      </c>
    </row>
    <row r="564">
      <c r="B564" s="7" t="n"/>
      <c r="C564" s="7" t="n"/>
      <c r="D564" s="7">
        <f>IF(OR(B564="",C564=""),"",B564+C564)</f>
        <v/>
      </c>
      <c r="E564" s="7">
        <f>IF(D564="","",MAX($D$2:D564))</f>
        <v/>
      </c>
      <c r="F564" s="7">
        <f>IF(OR(E564="",D564=""),"",E564-D564)</f>
        <v/>
      </c>
      <c r="G564" s="8">
        <f>IF(OR(E564="",F564="",E564=0),"",F564/E564)</f>
        <v/>
      </c>
      <c r="H564" s="7" t="n"/>
      <c r="I564" s="7">
        <f>IF(OR(H564="",F564=""),"",H564-F564)</f>
        <v/>
      </c>
      <c r="J564">
        <f>IF(I564="","",IF(I564&lt;=0,"BREACH",IF(I564&lt;=500,"WARNING","OK")))</f>
        <v/>
      </c>
    </row>
    <row r="565">
      <c r="B565" s="7" t="n"/>
      <c r="C565" s="7" t="n"/>
      <c r="D565" s="7">
        <f>IF(OR(B565="",C565=""),"",B565+C565)</f>
        <v/>
      </c>
      <c r="E565" s="7">
        <f>IF(D565="","",MAX($D$2:D565))</f>
        <v/>
      </c>
      <c r="F565" s="7">
        <f>IF(OR(E565="",D565=""),"",E565-D565)</f>
        <v/>
      </c>
      <c r="G565" s="8">
        <f>IF(OR(E565="",F565="",E565=0),"",F565/E565)</f>
        <v/>
      </c>
      <c r="H565" s="7" t="n"/>
      <c r="I565" s="7">
        <f>IF(OR(H565="",F565=""),"",H565-F565)</f>
        <v/>
      </c>
      <c r="J565">
        <f>IF(I565="","",IF(I565&lt;=0,"BREACH",IF(I565&lt;=500,"WARNING","OK")))</f>
        <v/>
      </c>
    </row>
    <row r="566">
      <c r="B566" s="7" t="n"/>
      <c r="C566" s="7" t="n"/>
      <c r="D566" s="7">
        <f>IF(OR(B566="",C566=""),"",B566+C566)</f>
        <v/>
      </c>
      <c r="E566" s="7">
        <f>IF(D566="","",MAX($D$2:D566))</f>
        <v/>
      </c>
      <c r="F566" s="7">
        <f>IF(OR(E566="",D566=""),"",E566-D566)</f>
        <v/>
      </c>
      <c r="G566" s="8">
        <f>IF(OR(E566="",F566="",E566=0),"",F566/E566)</f>
        <v/>
      </c>
      <c r="H566" s="7" t="n"/>
      <c r="I566" s="7">
        <f>IF(OR(H566="",F566=""),"",H566-F566)</f>
        <v/>
      </c>
      <c r="J566">
        <f>IF(I566="","",IF(I566&lt;=0,"BREACH",IF(I566&lt;=500,"WARNING","OK")))</f>
        <v/>
      </c>
    </row>
    <row r="567">
      <c r="B567" s="7" t="n"/>
      <c r="C567" s="7" t="n"/>
      <c r="D567" s="7">
        <f>IF(OR(B567="",C567=""),"",B567+C567)</f>
        <v/>
      </c>
      <c r="E567" s="7">
        <f>IF(D567="","",MAX($D$2:D567))</f>
        <v/>
      </c>
      <c r="F567" s="7">
        <f>IF(OR(E567="",D567=""),"",E567-D567)</f>
        <v/>
      </c>
      <c r="G567" s="8">
        <f>IF(OR(E567="",F567="",E567=0),"",F567/E567)</f>
        <v/>
      </c>
      <c r="H567" s="7" t="n"/>
      <c r="I567" s="7">
        <f>IF(OR(H567="",F567=""),"",H567-F567)</f>
        <v/>
      </c>
      <c r="J567">
        <f>IF(I567="","",IF(I567&lt;=0,"BREACH",IF(I567&lt;=500,"WARNING","OK")))</f>
        <v/>
      </c>
    </row>
    <row r="568">
      <c r="B568" s="7" t="n"/>
      <c r="C568" s="7" t="n"/>
      <c r="D568" s="7">
        <f>IF(OR(B568="",C568=""),"",B568+C568)</f>
        <v/>
      </c>
      <c r="E568" s="7">
        <f>IF(D568="","",MAX($D$2:D568))</f>
        <v/>
      </c>
      <c r="F568" s="7">
        <f>IF(OR(E568="",D568=""),"",E568-D568)</f>
        <v/>
      </c>
      <c r="G568" s="8">
        <f>IF(OR(E568="",F568="",E568=0),"",F568/E568)</f>
        <v/>
      </c>
      <c r="H568" s="7" t="n"/>
      <c r="I568" s="7">
        <f>IF(OR(H568="",F568=""),"",H568-F568)</f>
        <v/>
      </c>
      <c r="J568">
        <f>IF(I568="","",IF(I568&lt;=0,"BREACH",IF(I568&lt;=500,"WARNING","OK")))</f>
        <v/>
      </c>
    </row>
    <row r="569">
      <c r="B569" s="7" t="n"/>
      <c r="C569" s="7" t="n"/>
      <c r="D569" s="7">
        <f>IF(OR(B569="",C569=""),"",B569+C569)</f>
        <v/>
      </c>
      <c r="E569" s="7">
        <f>IF(D569="","",MAX($D$2:D569))</f>
        <v/>
      </c>
      <c r="F569" s="7">
        <f>IF(OR(E569="",D569=""),"",E569-D569)</f>
        <v/>
      </c>
      <c r="G569" s="8">
        <f>IF(OR(E569="",F569="",E569=0),"",F569/E569)</f>
        <v/>
      </c>
      <c r="H569" s="7" t="n"/>
      <c r="I569" s="7">
        <f>IF(OR(H569="",F569=""),"",H569-F569)</f>
        <v/>
      </c>
      <c r="J569">
        <f>IF(I569="","",IF(I569&lt;=0,"BREACH",IF(I569&lt;=500,"WARNING","OK")))</f>
        <v/>
      </c>
    </row>
    <row r="570">
      <c r="B570" s="7" t="n"/>
      <c r="C570" s="7" t="n"/>
      <c r="D570" s="7">
        <f>IF(OR(B570="",C570=""),"",B570+C570)</f>
        <v/>
      </c>
      <c r="E570" s="7">
        <f>IF(D570="","",MAX($D$2:D570))</f>
        <v/>
      </c>
      <c r="F570" s="7">
        <f>IF(OR(E570="",D570=""),"",E570-D570)</f>
        <v/>
      </c>
      <c r="G570" s="8">
        <f>IF(OR(E570="",F570="",E570=0),"",F570/E570)</f>
        <v/>
      </c>
      <c r="H570" s="7" t="n"/>
      <c r="I570" s="7">
        <f>IF(OR(H570="",F570=""),"",H570-F570)</f>
        <v/>
      </c>
      <c r="J570">
        <f>IF(I570="","",IF(I570&lt;=0,"BREACH",IF(I570&lt;=500,"WARNING","OK")))</f>
        <v/>
      </c>
    </row>
    <row r="571">
      <c r="B571" s="7" t="n"/>
      <c r="C571" s="7" t="n"/>
      <c r="D571" s="7">
        <f>IF(OR(B571="",C571=""),"",B571+C571)</f>
        <v/>
      </c>
      <c r="E571" s="7">
        <f>IF(D571="","",MAX($D$2:D571))</f>
        <v/>
      </c>
      <c r="F571" s="7">
        <f>IF(OR(E571="",D571=""),"",E571-D571)</f>
        <v/>
      </c>
      <c r="G571" s="8">
        <f>IF(OR(E571="",F571="",E571=0),"",F571/E571)</f>
        <v/>
      </c>
      <c r="H571" s="7" t="n"/>
      <c r="I571" s="7">
        <f>IF(OR(H571="",F571=""),"",H571-F571)</f>
        <v/>
      </c>
      <c r="J571">
        <f>IF(I571="","",IF(I571&lt;=0,"BREACH",IF(I571&lt;=500,"WARNING","OK")))</f>
        <v/>
      </c>
    </row>
    <row r="572">
      <c r="B572" s="7" t="n"/>
      <c r="C572" s="7" t="n"/>
      <c r="D572" s="7">
        <f>IF(OR(B572="",C572=""),"",B572+C572)</f>
        <v/>
      </c>
      <c r="E572" s="7">
        <f>IF(D572="","",MAX($D$2:D572))</f>
        <v/>
      </c>
      <c r="F572" s="7">
        <f>IF(OR(E572="",D572=""),"",E572-D572)</f>
        <v/>
      </c>
      <c r="G572" s="8">
        <f>IF(OR(E572="",F572="",E572=0),"",F572/E572)</f>
        <v/>
      </c>
      <c r="H572" s="7" t="n"/>
      <c r="I572" s="7">
        <f>IF(OR(H572="",F572=""),"",H572-F572)</f>
        <v/>
      </c>
      <c r="J572">
        <f>IF(I572="","",IF(I572&lt;=0,"BREACH",IF(I572&lt;=500,"WARNING","OK")))</f>
        <v/>
      </c>
    </row>
    <row r="573">
      <c r="B573" s="7" t="n"/>
      <c r="C573" s="7" t="n"/>
      <c r="D573" s="7">
        <f>IF(OR(B573="",C573=""),"",B573+C573)</f>
        <v/>
      </c>
      <c r="E573" s="7">
        <f>IF(D573="","",MAX($D$2:D573))</f>
        <v/>
      </c>
      <c r="F573" s="7">
        <f>IF(OR(E573="",D573=""),"",E573-D573)</f>
        <v/>
      </c>
      <c r="G573" s="8">
        <f>IF(OR(E573="",F573="",E573=0),"",F573/E573)</f>
        <v/>
      </c>
      <c r="H573" s="7" t="n"/>
      <c r="I573" s="7">
        <f>IF(OR(H573="",F573=""),"",H573-F573)</f>
        <v/>
      </c>
      <c r="J573">
        <f>IF(I573="","",IF(I573&lt;=0,"BREACH",IF(I573&lt;=500,"WARNING","OK")))</f>
        <v/>
      </c>
    </row>
    <row r="574">
      <c r="B574" s="7" t="n"/>
      <c r="C574" s="7" t="n"/>
      <c r="D574" s="7">
        <f>IF(OR(B574="",C574=""),"",B574+C574)</f>
        <v/>
      </c>
      <c r="E574" s="7">
        <f>IF(D574="","",MAX($D$2:D574))</f>
        <v/>
      </c>
      <c r="F574" s="7">
        <f>IF(OR(E574="",D574=""),"",E574-D574)</f>
        <v/>
      </c>
      <c r="G574" s="8">
        <f>IF(OR(E574="",F574="",E574=0),"",F574/E574)</f>
        <v/>
      </c>
      <c r="H574" s="7" t="n"/>
      <c r="I574" s="7">
        <f>IF(OR(H574="",F574=""),"",H574-F574)</f>
        <v/>
      </c>
      <c r="J574">
        <f>IF(I574="","",IF(I574&lt;=0,"BREACH",IF(I574&lt;=500,"WARNING","OK")))</f>
        <v/>
      </c>
    </row>
    <row r="575">
      <c r="B575" s="7" t="n"/>
      <c r="C575" s="7" t="n"/>
      <c r="D575" s="7">
        <f>IF(OR(B575="",C575=""),"",B575+C575)</f>
        <v/>
      </c>
      <c r="E575" s="7">
        <f>IF(D575="","",MAX($D$2:D575))</f>
        <v/>
      </c>
      <c r="F575" s="7">
        <f>IF(OR(E575="",D575=""),"",E575-D575)</f>
        <v/>
      </c>
      <c r="G575" s="8">
        <f>IF(OR(E575="",F575="",E575=0),"",F575/E575)</f>
        <v/>
      </c>
      <c r="H575" s="7" t="n"/>
      <c r="I575" s="7">
        <f>IF(OR(H575="",F575=""),"",H575-F575)</f>
        <v/>
      </c>
      <c r="J575">
        <f>IF(I575="","",IF(I575&lt;=0,"BREACH",IF(I575&lt;=500,"WARNING","OK")))</f>
        <v/>
      </c>
    </row>
    <row r="576">
      <c r="B576" s="7" t="n"/>
      <c r="C576" s="7" t="n"/>
      <c r="D576" s="7">
        <f>IF(OR(B576="",C576=""),"",B576+C576)</f>
        <v/>
      </c>
      <c r="E576" s="7">
        <f>IF(D576="","",MAX($D$2:D576))</f>
        <v/>
      </c>
      <c r="F576" s="7">
        <f>IF(OR(E576="",D576=""),"",E576-D576)</f>
        <v/>
      </c>
      <c r="G576" s="8">
        <f>IF(OR(E576="",F576="",E576=0),"",F576/E576)</f>
        <v/>
      </c>
      <c r="H576" s="7" t="n"/>
      <c r="I576" s="7">
        <f>IF(OR(H576="",F576=""),"",H576-F576)</f>
        <v/>
      </c>
      <c r="J576">
        <f>IF(I576="","",IF(I576&lt;=0,"BREACH",IF(I576&lt;=500,"WARNING","OK")))</f>
        <v/>
      </c>
    </row>
    <row r="577">
      <c r="B577" s="7" t="n"/>
      <c r="C577" s="7" t="n"/>
      <c r="D577" s="7">
        <f>IF(OR(B577="",C577=""),"",B577+C577)</f>
        <v/>
      </c>
      <c r="E577" s="7">
        <f>IF(D577="","",MAX($D$2:D577))</f>
        <v/>
      </c>
      <c r="F577" s="7">
        <f>IF(OR(E577="",D577=""),"",E577-D577)</f>
        <v/>
      </c>
      <c r="G577" s="8">
        <f>IF(OR(E577="",F577="",E577=0),"",F577/E577)</f>
        <v/>
      </c>
      <c r="H577" s="7" t="n"/>
      <c r="I577" s="7">
        <f>IF(OR(H577="",F577=""),"",H577-F577)</f>
        <v/>
      </c>
      <c r="J577">
        <f>IF(I577="","",IF(I577&lt;=0,"BREACH",IF(I577&lt;=500,"WARNING","OK")))</f>
        <v/>
      </c>
    </row>
    <row r="578">
      <c r="B578" s="7" t="n"/>
      <c r="C578" s="7" t="n"/>
      <c r="D578" s="7">
        <f>IF(OR(B578="",C578=""),"",B578+C578)</f>
        <v/>
      </c>
      <c r="E578" s="7">
        <f>IF(D578="","",MAX($D$2:D578))</f>
        <v/>
      </c>
      <c r="F578" s="7">
        <f>IF(OR(E578="",D578=""),"",E578-D578)</f>
        <v/>
      </c>
      <c r="G578" s="8">
        <f>IF(OR(E578="",F578="",E578=0),"",F578/E578)</f>
        <v/>
      </c>
      <c r="H578" s="7" t="n"/>
      <c r="I578" s="7">
        <f>IF(OR(H578="",F578=""),"",H578-F578)</f>
        <v/>
      </c>
      <c r="J578">
        <f>IF(I578="","",IF(I578&lt;=0,"BREACH",IF(I578&lt;=500,"WARNING","OK")))</f>
        <v/>
      </c>
    </row>
    <row r="579">
      <c r="B579" s="7" t="n"/>
      <c r="C579" s="7" t="n"/>
      <c r="D579" s="7">
        <f>IF(OR(B579="",C579=""),"",B579+C579)</f>
        <v/>
      </c>
      <c r="E579" s="7">
        <f>IF(D579="","",MAX($D$2:D579))</f>
        <v/>
      </c>
      <c r="F579" s="7">
        <f>IF(OR(E579="",D579=""),"",E579-D579)</f>
        <v/>
      </c>
      <c r="G579" s="8">
        <f>IF(OR(E579="",F579="",E579=0),"",F579/E579)</f>
        <v/>
      </c>
      <c r="H579" s="7" t="n"/>
      <c r="I579" s="7">
        <f>IF(OR(H579="",F579=""),"",H579-F579)</f>
        <v/>
      </c>
      <c r="J579">
        <f>IF(I579="","",IF(I579&lt;=0,"BREACH",IF(I579&lt;=500,"WARNING","OK")))</f>
        <v/>
      </c>
    </row>
    <row r="580">
      <c r="B580" s="7" t="n"/>
      <c r="C580" s="7" t="n"/>
      <c r="D580" s="7">
        <f>IF(OR(B580="",C580=""),"",B580+C580)</f>
        <v/>
      </c>
      <c r="E580" s="7">
        <f>IF(D580="","",MAX($D$2:D580))</f>
        <v/>
      </c>
      <c r="F580" s="7">
        <f>IF(OR(E580="",D580=""),"",E580-D580)</f>
        <v/>
      </c>
      <c r="G580" s="8">
        <f>IF(OR(E580="",F580="",E580=0),"",F580/E580)</f>
        <v/>
      </c>
      <c r="H580" s="7" t="n"/>
      <c r="I580" s="7">
        <f>IF(OR(H580="",F580=""),"",H580-F580)</f>
        <v/>
      </c>
      <c r="J580">
        <f>IF(I580="","",IF(I580&lt;=0,"BREACH",IF(I580&lt;=500,"WARNING","OK")))</f>
        <v/>
      </c>
    </row>
    <row r="581">
      <c r="B581" s="7" t="n"/>
      <c r="C581" s="7" t="n"/>
      <c r="D581" s="7">
        <f>IF(OR(B581="",C581=""),"",B581+C581)</f>
        <v/>
      </c>
      <c r="E581" s="7">
        <f>IF(D581="","",MAX($D$2:D581))</f>
        <v/>
      </c>
      <c r="F581" s="7">
        <f>IF(OR(E581="",D581=""),"",E581-D581)</f>
        <v/>
      </c>
      <c r="G581" s="8">
        <f>IF(OR(E581="",F581="",E581=0),"",F581/E581)</f>
        <v/>
      </c>
      <c r="H581" s="7" t="n"/>
      <c r="I581" s="7">
        <f>IF(OR(H581="",F581=""),"",H581-F581)</f>
        <v/>
      </c>
      <c r="J581">
        <f>IF(I581="","",IF(I581&lt;=0,"BREACH",IF(I581&lt;=500,"WARNING","OK")))</f>
        <v/>
      </c>
    </row>
    <row r="582">
      <c r="B582" s="7" t="n"/>
      <c r="C582" s="7" t="n"/>
      <c r="D582" s="7">
        <f>IF(OR(B582="",C582=""),"",B582+C582)</f>
        <v/>
      </c>
      <c r="E582" s="7">
        <f>IF(D582="","",MAX($D$2:D582))</f>
        <v/>
      </c>
      <c r="F582" s="7">
        <f>IF(OR(E582="",D582=""),"",E582-D582)</f>
        <v/>
      </c>
      <c r="G582" s="8">
        <f>IF(OR(E582="",F582="",E582=0),"",F582/E582)</f>
        <v/>
      </c>
      <c r="H582" s="7" t="n"/>
      <c r="I582" s="7">
        <f>IF(OR(H582="",F582=""),"",H582-F582)</f>
        <v/>
      </c>
      <c r="J582">
        <f>IF(I582="","",IF(I582&lt;=0,"BREACH",IF(I582&lt;=500,"WARNING","OK")))</f>
        <v/>
      </c>
    </row>
    <row r="583">
      <c r="B583" s="7" t="n"/>
      <c r="C583" s="7" t="n"/>
      <c r="D583" s="7">
        <f>IF(OR(B583="",C583=""),"",B583+C583)</f>
        <v/>
      </c>
      <c r="E583" s="7">
        <f>IF(D583="","",MAX($D$2:D583))</f>
        <v/>
      </c>
      <c r="F583" s="7">
        <f>IF(OR(E583="",D583=""),"",E583-D583)</f>
        <v/>
      </c>
      <c r="G583" s="8">
        <f>IF(OR(E583="",F583="",E583=0),"",F583/E583)</f>
        <v/>
      </c>
      <c r="H583" s="7" t="n"/>
      <c r="I583" s="7">
        <f>IF(OR(H583="",F583=""),"",H583-F583)</f>
        <v/>
      </c>
      <c r="J583">
        <f>IF(I583="","",IF(I583&lt;=0,"BREACH",IF(I583&lt;=500,"WARNING","OK")))</f>
        <v/>
      </c>
    </row>
    <row r="584">
      <c r="B584" s="7" t="n"/>
      <c r="C584" s="7" t="n"/>
      <c r="D584" s="7">
        <f>IF(OR(B584="",C584=""),"",B584+C584)</f>
        <v/>
      </c>
      <c r="E584" s="7">
        <f>IF(D584="","",MAX($D$2:D584))</f>
        <v/>
      </c>
      <c r="F584" s="7">
        <f>IF(OR(E584="",D584=""),"",E584-D584)</f>
        <v/>
      </c>
      <c r="G584" s="8">
        <f>IF(OR(E584="",F584="",E584=0),"",F584/E584)</f>
        <v/>
      </c>
      <c r="H584" s="7" t="n"/>
      <c r="I584" s="7">
        <f>IF(OR(H584="",F584=""),"",H584-F584)</f>
        <v/>
      </c>
      <c r="J584">
        <f>IF(I584="","",IF(I584&lt;=0,"BREACH",IF(I584&lt;=500,"WARNING","OK")))</f>
        <v/>
      </c>
    </row>
    <row r="585">
      <c r="B585" s="7" t="n"/>
      <c r="C585" s="7" t="n"/>
      <c r="D585" s="7">
        <f>IF(OR(B585="",C585=""),"",B585+C585)</f>
        <v/>
      </c>
      <c r="E585" s="7">
        <f>IF(D585="","",MAX($D$2:D585))</f>
        <v/>
      </c>
      <c r="F585" s="7">
        <f>IF(OR(E585="",D585=""),"",E585-D585)</f>
        <v/>
      </c>
      <c r="G585" s="8">
        <f>IF(OR(E585="",F585="",E585=0),"",F585/E585)</f>
        <v/>
      </c>
      <c r="H585" s="7" t="n"/>
      <c r="I585" s="7">
        <f>IF(OR(H585="",F585=""),"",H585-F585)</f>
        <v/>
      </c>
      <c r="J585">
        <f>IF(I585="","",IF(I585&lt;=0,"BREACH",IF(I585&lt;=500,"WARNING","OK")))</f>
        <v/>
      </c>
    </row>
    <row r="586">
      <c r="B586" s="7" t="n"/>
      <c r="C586" s="7" t="n"/>
      <c r="D586" s="7">
        <f>IF(OR(B586="",C586=""),"",B586+C586)</f>
        <v/>
      </c>
      <c r="E586" s="7">
        <f>IF(D586="","",MAX($D$2:D586))</f>
        <v/>
      </c>
      <c r="F586" s="7">
        <f>IF(OR(E586="",D586=""),"",E586-D586)</f>
        <v/>
      </c>
      <c r="G586" s="8">
        <f>IF(OR(E586="",F586="",E586=0),"",F586/E586)</f>
        <v/>
      </c>
      <c r="H586" s="7" t="n"/>
      <c r="I586" s="7">
        <f>IF(OR(H586="",F586=""),"",H586-F586)</f>
        <v/>
      </c>
      <c r="J586">
        <f>IF(I586="","",IF(I586&lt;=0,"BREACH",IF(I586&lt;=500,"WARNING","OK")))</f>
        <v/>
      </c>
    </row>
    <row r="587">
      <c r="B587" s="7" t="n"/>
      <c r="C587" s="7" t="n"/>
      <c r="D587" s="7">
        <f>IF(OR(B587="",C587=""),"",B587+C587)</f>
        <v/>
      </c>
      <c r="E587" s="7">
        <f>IF(D587="","",MAX($D$2:D587))</f>
        <v/>
      </c>
      <c r="F587" s="7">
        <f>IF(OR(E587="",D587=""),"",E587-D587)</f>
        <v/>
      </c>
      <c r="G587" s="8">
        <f>IF(OR(E587="",F587="",E587=0),"",F587/E587)</f>
        <v/>
      </c>
      <c r="H587" s="7" t="n"/>
      <c r="I587" s="7">
        <f>IF(OR(H587="",F587=""),"",H587-F587)</f>
        <v/>
      </c>
      <c r="J587">
        <f>IF(I587="","",IF(I587&lt;=0,"BREACH",IF(I587&lt;=500,"WARNING","OK")))</f>
        <v/>
      </c>
    </row>
    <row r="588">
      <c r="B588" s="7" t="n"/>
      <c r="C588" s="7" t="n"/>
      <c r="D588" s="7">
        <f>IF(OR(B588="",C588=""),"",B588+C588)</f>
        <v/>
      </c>
      <c r="E588" s="7">
        <f>IF(D588="","",MAX($D$2:D588))</f>
        <v/>
      </c>
      <c r="F588" s="7">
        <f>IF(OR(E588="",D588=""),"",E588-D588)</f>
        <v/>
      </c>
      <c r="G588" s="8">
        <f>IF(OR(E588="",F588="",E588=0),"",F588/E588)</f>
        <v/>
      </c>
      <c r="H588" s="7" t="n"/>
      <c r="I588" s="7">
        <f>IF(OR(H588="",F588=""),"",H588-F588)</f>
        <v/>
      </c>
      <c r="J588">
        <f>IF(I588="","",IF(I588&lt;=0,"BREACH",IF(I588&lt;=500,"WARNING","OK")))</f>
        <v/>
      </c>
    </row>
    <row r="589">
      <c r="B589" s="7" t="n"/>
      <c r="C589" s="7" t="n"/>
      <c r="D589" s="7">
        <f>IF(OR(B589="",C589=""),"",B589+C589)</f>
        <v/>
      </c>
      <c r="E589" s="7">
        <f>IF(D589="","",MAX($D$2:D589))</f>
        <v/>
      </c>
      <c r="F589" s="7">
        <f>IF(OR(E589="",D589=""),"",E589-D589)</f>
        <v/>
      </c>
      <c r="G589" s="8">
        <f>IF(OR(E589="",F589="",E589=0),"",F589/E589)</f>
        <v/>
      </c>
      <c r="H589" s="7" t="n"/>
      <c r="I589" s="7">
        <f>IF(OR(H589="",F589=""),"",H589-F589)</f>
        <v/>
      </c>
      <c r="J589">
        <f>IF(I589="","",IF(I589&lt;=0,"BREACH",IF(I589&lt;=500,"WARNING","OK")))</f>
        <v/>
      </c>
    </row>
    <row r="590">
      <c r="B590" s="7" t="n"/>
      <c r="C590" s="7" t="n"/>
      <c r="D590" s="7">
        <f>IF(OR(B590="",C590=""),"",B590+C590)</f>
        <v/>
      </c>
      <c r="E590" s="7">
        <f>IF(D590="","",MAX($D$2:D590))</f>
        <v/>
      </c>
      <c r="F590" s="7">
        <f>IF(OR(E590="",D590=""),"",E590-D590)</f>
        <v/>
      </c>
      <c r="G590" s="8">
        <f>IF(OR(E590="",F590="",E590=0),"",F590/E590)</f>
        <v/>
      </c>
      <c r="H590" s="7" t="n"/>
      <c r="I590" s="7">
        <f>IF(OR(H590="",F590=""),"",H590-F590)</f>
        <v/>
      </c>
      <c r="J590">
        <f>IF(I590="","",IF(I590&lt;=0,"BREACH",IF(I590&lt;=500,"WARNING","OK")))</f>
        <v/>
      </c>
    </row>
    <row r="591">
      <c r="B591" s="7" t="n"/>
      <c r="C591" s="7" t="n"/>
      <c r="D591" s="7">
        <f>IF(OR(B591="",C591=""),"",B591+C591)</f>
        <v/>
      </c>
      <c r="E591" s="7">
        <f>IF(D591="","",MAX($D$2:D591))</f>
        <v/>
      </c>
      <c r="F591" s="7">
        <f>IF(OR(E591="",D591=""),"",E591-D591)</f>
        <v/>
      </c>
      <c r="G591" s="8">
        <f>IF(OR(E591="",F591="",E591=0),"",F591/E591)</f>
        <v/>
      </c>
      <c r="H591" s="7" t="n"/>
      <c r="I591" s="7">
        <f>IF(OR(H591="",F591=""),"",H591-F591)</f>
        <v/>
      </c>
      <c r="J591">
        <f>IF(I591="","",IF(I591&lt;=0,"BREACH",IF(I591&lt;=500,"WARNING","OK")))</f>
        <v/>
      </c>
    </row>
    <row r="592">
      <c r="B592" s="7" t="n"/>
      <c r="C592" s="7" t="n"/>
      <c r="D592" s="7">
        <f>IF(OR(B592="",C592=""),"",B592+C592)</f>
        <v/>
      </c>
      <c r="E592" s="7">
        <f>IF(D592="","",MAX($D$2:D592))</f>
        <v/>
      </c>
      <c r="F592" s="7">
        <f>IF(OR(E592="",D592=""),"",E592-D592)</f>
        <v/>
      </c>
      <c r="G592" s="8">
        <f>IF(OR(E592="",F592="",E592=0),"",F592/E592)</f>
        <v/>
      </c>
      <c r="H592" s="7" t="n"/>
      <c r="I592" s="7">
        <f>IF(OR(H592="",F592=""),"",H592-F592)</f>
        <v/>
      </c>
      <c r="J592">
        <f>IF(I592="","",IF(I592&lt;=0,"BREACH",IF(I592&lt;=500,"WARNING","OK")))</f>
        <v/>
      </c>
    </row>
    <row r="593">
      <c r="B593" s="7" t="n"/>
      <c r="C593" s="7" t="n"/>
      <c r="D593" s="7">
        <f>IF(OR(B593="",C593=""),"",B593+C593)</f>
        <v/>
      </c>
      <c r="E593" s="7">
        <f>IF(D593="","",MAX($D$2:D593))</f>
        <v/>
      </c>
      <c r="F593" s="7">
        <f>IF(OR(E593="",D593=""),"",E593-D593)</f>
        <v/>
      </c>
      <c r="G593" s="8">
        <f>IF(OR(E593="",F593="",E593=0),"",F593/E593)</f>
        <v/>
      </c>
      <c r="H593" s="7" t="n"/>
      <c r="I593" s="7">
        <f>IF(OR(H593="",F593=""),"",H593-F593)</f>
        <v/>
      </c>
      <c r="J593">
        <f>IF(I593="","",IF(I593&lt;=0,"BREACH",IF(I593&lt;=500,"WARNING","OK")))</f>
        <v/>
      </c>
    </row>
    <row r="594">
      <c r="B594" s="7" t="n"/>
      <c r="C594" s="7" t="n"/>
      <c r="D594" s="7">
        <f>IF(OR(B594="",C594=""),"",B594+C594)</f>
        <v/>
      </c>
      <c r="E594" s="7">
        <f>IF(D594="","",MAX($D$2:D594))</f>
        <v/>
      </c>
      <c r="F594" s="7">
        <f>IF(OR(E594="",D594=""),"",E594-D594)</f>
        <v/>
      </c>
      <c r="G594" s="8">
        <f>IF(OR(E594="",F594="",E594=0),"",F594/E594)</f>
        <v/>
      </c>
      <c r="H594" s="7" t="n"/>
      <c r="I594" s="7">
        <f>IF(OR(H594="",F594=""),"",H594-F594)</f>
        <v/>
      </c>
      <c r="J594">
        <f>IF(I594="","",IF(I594&lt;=0,"BREACH",IF(I594&lt;=500,"WARNING","OK")))</f>
        <v/>
      </c>
    </row>
    <row r="595">
      <c r="B595" s="7" t="n"/>
      <c r="C595" s="7" t="n"/>
      <c r="D595" s="7">
        <f>IF(OR(B595="",C595=""),"",B595+C595)</f>
        <v/>
      </c>
      <c r="E595" s="7">
        <f>IF(D595="","",MAX($D$2:D595))</f>
        <v/>
      </c>
      <c r="F595" s="7">
        <f>IF(OR(E595="",D595=""),"",E595-D595)</f>
        <v/>
      </c>
      <c r="G595" s="8">
        <f>IF(OR(E595="",F595="",E595=0),"",F595/E595)</f>
        <v/>
      </c>
      <c r="H595" s="7" t="n"/>
      <c r="I595" s="7">
        <f>IF(OR(H595="",F595=""),"",H595-F595)</f>
        <v/>
      </c>
      <c r="J595">
        <f>IF(I595="","",IF(I595&lt;=0,"BREACH",IF(I595&lt;=500,"WARNING","OK")))</f>
        <v/>
      </c>
    </row>
    <row r="596">
      <c r="B596" s="7" t="n"/>
      <c r="C596" s="7" t="n"/>
      <c r="D596" s="7">
        <f>IF(OR(B596="",C596=""),"",B596+C596)</f>
        <v/>
      </c>
      <c r="E596" s="7">
        <f>IF(D596="","",MAX($D$2:D596))</f>
        <v/>
      </c>
      <c r="F596" s="7">
        <f>IF(OR(E596="",D596=""),"",E596-D596)</f>
        <v/>
      </c>
      <c r="G596" s="8">
        <f>IF(OR(E596="",F596="",E596=0),"",F596/E596)</f>
        <v/>
      </c>
      <c r="H596" s="7" t="n"/>
      <c r="I596" s="7">
        <f>IF(OR(H596="",F596=""),"",H596-F596)</f>
        <v/>
      </c>
      <c r="J596">
        <f>IF(I596="","",IF(I596&lt;=0,"BREACH",IF(I596&lt;=500,"WARNING","OK")))</f>
        <v/>
      </c>
    </row>
    <row r="597">
      <c r="B597" s="7" t="n"/>
      <c r="C597" s="7" t="n"/>
      <c r="D597" s="7">
        <f>IF(OR(B597="",C597=""),"",B597+C597)</f>
        <v/>
      </c>
      <c r="E597" s="7">
        <f>IF(D597="","",MAX($D$2:D597))</f>
        <v/>
      </c>
      <c r="F597" s="7">
        <f>IF(OR(E597="",D597=""),"",E597-D597)</f>
        <v/>
      </c>
      <c r="G597" s="8">
        <f>IF(OR(E597="",F597="",E597=0),"",F597/E597)</f>
        <v/>
      </c>
      <c r="H597" s="7" t="n"/>
      <c r="I597" s="7">
        <f>IF(OR(H597="",F597=""),"",H597-F597)</f>
        <v/>
      </c>
      <c r="J597">
        <f>IF(I597="","",IF(I597&lt;=0,"BREACH",IF(I597&lt;=500,"WARNING","OK")))</f>
        <v/>
      </c>
    </row>
    <row r="598">
      <c r="B598" s="7" t="n"/>
      <c r="C598" s="7" t="n"/>
      <c r="D598" s="7">
        <f>IF(OR(B598="",C598=""),"",B598+C598)</f>
        <v/>
      </c>
      <c r="E598" s="7">
        <f>IF(D598="","",MAX($D$2:D598))</f>
        <v/>
      </c>
      <c r="F598" s="7">
        <f>IF(OR(E598="",D598=""),"",E598-D598)</f>
        <v/>
      </c>
      <c r="G598" s="8">
        <f>IF(OR(E598="",F598="",E598=0),"",F598/E598)</f>
        <v/>
      </c>
      <c r="H598" s="7" t="n"/>
      <c r="I598" s="7">
        <f>IF(OR(H598="",F598=""),"",H598-F598)</f>
        <v/>
      </c>
      <c r="J598">
        <f>IF(I598="","",IF(I598&lt;=0,"BREACH",IF(I598&lt;=500,"WARNING","OK")))</f>
        <v/>
      </c>
    </row>
    <row r="599">
      <c r="B599" s="7" t="n"/>
      <c r="C599" s="7" t="n"/>
      <c r="D599" s="7">
        <f>IF(OR(B599="",C599=""),"",B599+C599)</f>
        <v/>
      </c>
      <c r="E599" s="7">
        <f>IF(D599="","",MAX($D$2:D599))</f>
        <v/>
      </c>
      <c r="F599" s="7">
        <f>IF(OR(E599="",D599=""),"",E599-D599)</f>
        <v/>
      </c>
      <c r="G599" s="8">
        <f>IF(OR(E599="",F599="",E599=0),"",F599/E599)</f>
        <v/>
      </c>
      <c r="H599" s="7" t="n"/>
      <c r="I599" s="7">
        <f>IF(OR(H599="",F599=""),"",H599-F599)</f>
        <v/>
      </c>
      <c r="J599">
        <f>IF(I599="","",IF(I599&lt;=0,"BREACH",IF(I599&lt;=500,"WARNING","OK")))</f>
        <v/>
      </c>
    </row>
    <row r="600">
      <c r="B600" s="7" t="n"/>
      <c r="C600" s="7" t="n"/>
      <c r="D600" s="7">
        <f>IF(OR(B600="",C600=""),"",B600+C600)</f>
        <v/>
      </c>
      <c r="E600" s="7">
        <f>IF(D600="","",MAX($D$2:D600))</f>
        <v/>
      </c>
      <c r="F600" s="7">
        <f>IF(OR(E600="",D600=""),"",E600-D600)</f>
        <v/>
      </c>
      <c r="G600" s="8">
        <f>IF(OR(E600="",F600="",E600=0),"",F600/E600)</f>
        <v/>
      </c>
      <c r="H600" s="7" t="n"/>
      <c r="I600" s="7">
        <f>IF(OR(H600="",F600=""),"",H600-F600)</f>
        <v/>
      </c>
      <c r="J600">
        <f>IF(I600="","",IF(I600&lt;=0,"BREACH",IF(I600&lt;=500,"WARNING","OK")))</f>
        <v/>
      </c>
    </row>
    <row r="601">
      <c r="B601" s="7" t="n"/>
      <c r="C601" s="7" t="n"/>
      <c r="D601" s="7">
        <f>IF(OR(B601="",C601=""),"",B601+C601)</f>
        <v/>
      </c>
      <c r="E601" s="7">
        <f>IF(D601="","",MAX($D$2:D601))</f>
        <v/>
      </c>
      <c r="F601" s="7">
        <f>IF(OR(E601="",D601=""),"",E601-D601)</f>
        <v/>
      </c>
      <c r="G601" s="8">
        <f>IF(OR(E601="",F601="",E601=0),"",F601/E601)</f>
        <v/>
      </c>
      <c r="H601" s="7" t="n"/>
      <c r="I601" s="7">
        <f>IF(OR(H601="",F601=""),"",H601-F601)</f>
        <v/>
      </c>
      <c r="J601">
        <f>IF(I601="","",IF(I601&lt;=0,"BREACH",IF(I601&lt;=500,"WARNING","OK")))</f>
        <v/>
      </c>
    </row>
    <row r="602">
      <c r="B602" s="7" t="n"/>
      <c r="C602" s="7" t="n"/>
      <c r="D602" s="7">
        <f>IF(OR(B602="",C602=""),"",B602+C602)</f>
        <v/>
      </c>
      <c r="E602" s="7">
        <f>IF(D602="","",MAX($D$2:D602))</f>
        <v/>
      </c>
      <c r="F602" s="7">
        <f>IF(OR(E602="",D602=""),"",E602-D602)</f>
        <v/>
      </c>
      <c r="G602" s="8">
        <f>IF(OR(E602="",F602="",E602=0),"",F602/E602)</f>
        <v/>
      </c>
      <c r="H602" s="7" t="n"/>
      <c r="I602" s="7">
        <f>IF(OR(H602="",F602=""),"",H602-F602)</f>
        <v/>
      </c>
      <c r="J602">
        <f>IF(I602="","",IF(I602&lt;=0,"BREACH",IF(I602&lt;=500,"WARNING","OK")))</f>
        <v/>
      </c>
    </row>
    <row r="603">
      <c r="B603" s="7" t="n"/>
      <c r="C603" s="7" t="n"/>
      <c r="D603" s="7">
        <f>IF(OR(B603="",C603=""),"",B603+C603)</f>
        <v/>
      </c>
      <c r="E603" s="7">
        <f>IF(D603="","",MAX($D$2:D603))</f>
        <v/>
      </c>
      <c r="F603" s="7">
        <f>IF(OR(E603="",D603=""),"",E603-D603)</f>
        <v/>
      </c>
      <c r="G603" s="8">
        <f>IF(OR(E603="",F603="",E603=0),"",F603/E603)</f>
        <v/>
      </c>
      <c r="H603" s="7" t="n"/>
      <c r="I603" s="7">
        <f>IF(OR(H603="",F603=""),"",H603-F603)</f>
        <v/>
      </c>
      <c r="J603">
        <f>IF(I603="","",IF(I603&lt;=0,"BREACH",IF(I603&lt;=500,"WARNING","OK")))</f>
        <v/>
      </c>
    </row>
    <row r="604">
      <c r="B604" s="7" t="n"/>
      <c r="C604" s="7" t="n"/>
      <c r="D604" s="7">
        <f>IF(OR(B604="",C604=""),"",B604+C604)</f>
        <v/>
      </c>
      <c r="E604" s="7">
        <f>IF(D604="","",MAX($D$2:D604))</f>
        <v/>
      </c>
      <c r="F604" s="7">
        <f>IF(OR(E604="",D604=""),"",E604-D604)</f>
        <v/>
      </c>
      <c r="G604" s="8">
        <f>IF(OR(E604="",F604="",E604=0),"",F604/E604)</f>
        <v/>
      </c>
      <c r="H604" s="7" t="n"/>
      <c r="I604" s="7">
        <f>IF(OR(H604="",F604=""),"",H604-F604)</f>
        <v/>
      </c>
      <c r="J604">
        <f>IF(I604="","",IF(I604&lt;=0,"BREACH",IF(I604&lt;=500,"WARNING","OK")))</f>
        <v/>
      </c>
    </row>
    <row r="605">
      <c r="B605" s="7" t="n"/>
      <c r="C605" s="7" t="n"/>
      <c r="D605" s="7">
        <f>IF(OR(B605="",C605=""),"",B605+C605)</f>
        <v/>
      </c>
      <c r="E605" s="7">
        <f>IF(D605="","",MAX($D$2:D605))</f>
        <v/>
      </c>
      <c r="F605" s="7">
        <f>IF(OR(E605="",D605=""),"",E605-D605)</f>
        <v/>
      </c>
      <c r="G605" s="8">
        <f>IF(OR(E605="",F605="",E605=0),"",F605/E605)</f>
        <v/>
      </c>
      <c r="H605" s="7" t="n"/>
      <c r="I605" s="7">
        <f>IF(OR(H605="",F605=""),"",H605-F605)</f>
        <v/>
      </c>
      <c r="J605">
        <f>IF(I605="","",IF(I605&lt;=0,"BREACH",IF(I605&lt;=500,"WARNING","OK")))</f>
        <v/>
      </c>
    </row>
    <row r="606">
      <c r="B606" s="7" t="n"/>
      <c r="C606" s="7" t="n"/>
      <c r="D606" s="7">
        <f>IF(OR(B606="",C606=""),"",B606+C606)</f>
        <v/>
      </c>
      <c r="E606" s="7">
        <f>IF(D606="","",MAX($D$2:D606))</f>
        <v/>
      </c>
      <c r="F606" s="7">
        <f>IF(OR(E606="",D606=""),"",E606-D606)</f>
        <v/>
      </c>
      <c r="G606" s="8">
        <f>IF(OR(E606="",F606="",E606=0),"",F606/E606)</f>
        <v/>
      </c>
      <c r="H606" s="7" t="n"/>
      <c r="I606" s="7">
        <f>IF(OR(H606="",F606=""),"",H606-F606)</f>
        <v/>
      </c>
      <c r="J606">
        <f>IF(I606="","",IF(I606&lt;=0,"BREACH",IF(I606&lt;=500,"WARNING","OK")))</f>
        <v/>
      </c>
    </row>
    <row r="607">
      <c r="B607" s="7" t="n"/>
      <c r="C607" s="7" t="n"/>
      <c r="D607" s="7">
        <f>IF(OR(B607="",C607=""),"",B607+C607)</f>
        <v/>
      </c>
      <c r="E607" s="7">
        <f>IF(D607="","",MAX($D$2:D607))</f>
        <v/>
      </c>
      <c r="F607" s="7">
        <f>IF(OR(E607="",D607=""),"",E607-D607)</f>
        <v/>
      </c>
      <c r="G607" s="8">
        <f>IF(OR(E607="",F607="",E607=0),"",F607/E607)</f>
        <v/>
      </c>
      <c r="H607" s="7" t="n"/>
      <c r="I607" s="7">
        <f>IF(OR(H607="",F607=""),"",H607-F607)</f>
        <v/>
      </c>
      <c r="J607">
        <f>IF(I607="","",IF(I607&lt;=0,"BREACH",IF(I607&lt;=500,"WARNING","OK")))</f>
        <v/>
      </c>
    </row>
    <row r="608">
      <c r="B608" s="7" t="n"/>
      <c r="C608" s="7" t="n"/>
      <c r="D608" s="7">
        <f>IF(OR(B608="",C608=""),"",B608+C608)</f>
        <v/>
      </c>
      <c r="E608" s="7">
        <f>IF(D608="","",MAX($D$2:D608))</f>
        <v/>
      </c>
      <c r="F608" s="7">
        <f>IF(OR(E608="",D608=""),"",E608-D608)</f>
        <v/>
      </c>
      <c r="G608" s="8">
        <f>IF(OR(E608="",F608="",E608=0),"",F608/E608)</f>
        <v/>
      </c>
      <c r="H608" s="7" t="n"/>
      <c r="I608" s="7">
        <f>IF(OR(H608="",F608=""),"",H608-F608)</f>
        <v/>
      </c>
      <c r="J608">
        <f>IF(I608="","",IF(I608&lt;=0,"BREACH",IF(I608&lt;=500,"WARNING","OK")))</f>
        <v/>
      </c>
    </row>
    <row r="609">
      <c r="B609" s="7" t="n"/>
      <c r="C609" s="7" t="n"/>
      <c r="D609" s="7">
        <f>IF(OR(B609="",C609=""),"",B609+C609)</f>
        <v/>
      </c>
      <c r="E609" s="7">
        <f>IF(D609="","",MAX($D$2:D609))</f>
        <v/>
      </c>
      <c r="F609" s="7">
        <f>IF(OR(E609="",D609=""),"",E609-D609)</f>
        <v/>
      </c>
      <c r="G609" s="8">
        <f>IF(OR(E609="",F609="",E609=0),"",F609/E609)</f>
        <v/>
      </c>
      <c r="H609" s="7" t="n"/>
      <c r="I609" s="7">
        <f>IF(OR(H609="",F609=""),"",H609-F609)</f>
        <v/>
      </c>
      <c r="J609">
        <f>IF(I609="","",IF(I609&lt;=0,"BREACH",IF(I609&lt;=500,"WARNING","OK")))</f>
        <v/>
      </c>
    </row>
    <row r="610">
      <c r="B610" s="7" t="n"/>
      <c r="C610" s="7" t="n"/>
      <c r="D610" s="7">
        <f>IF(OR(B610="",C610=""),"",B610+C610)</f>
        <v/>
      </c>
      <c r="E610" s="7">
        <f>IF(D610="","",MAX($D$2:D610))</f>
        <v/>
      </c>
      <c r="F610" s="7">
        <f>IF(OR(E610="",D610=""),"",E610-D610)</f>
        <v/>
      </c>
      <c r="G610" s="8">
        <f>IF(OR(E610="",F610="",E610=0),"",F610/E610)</f>
        <v/>
      </c>
      <c r="H610" s="7" t="n"/>
      <c r="I610" s="7">
        <f>IF(OR(H610="",F610=""),"",H610-F610)</f>
        <v/>
      </c>
      <c r="J610">
        <f>IF(I610="","",IF(I610&lt;=0,"BREACH",IF(I610&lt;=500,"WARNING","OK")))</f>
        <v/>
      </c>
    </row>
    <row r="611">
      <c r="B611" s="7" t="n"/>
      <c r="C611" s="7" t="n"/>
      <c r="D611" s="7">
        <f>IF(OR(B611="",C611=""),"",B611+C611)</f>
        <v/>
      </c>
      <c r="E611" s="7">
        <f>IF(D611="","",MAX($D$2:D611))</f>
        <v/>
      </c>
      <c r="F611" s="7">
        <f>IF(OR(E611="",D611=""),"",E611-D611)</f>
        <v/>
      </c>
      <c r="G611" s="8">
        <f>IF(OR(E611="",F611="",E611=0),"",F611/E611)</f>
        <v/>
      </c>
      <c r="H611" s="7" t="n"/>
      <c r="I611" s="7">
        <f>IF(OR(H611="",F611=""),"",H611-F611)</f>
        <v/>
      </c>
      <c r="J611">
        <f>IF(I611="","",IF(I611&lt;=0,"BREACH",IF(I611&lt;=500,"WARNING","OK")))</f>
        <v/>
      </c>
    </row>
    <row r="612">
      <c r="B612" s="7" t="n"/>
      <c r="C612" s="7" t="n"/>
      <c r="D612" s="7">
        <f>IF(OR(B612="",C612=""),"",B612+C612)</f>
        <v/>
      </c>
      <c r="E612" s="7">
        <f>IF(D612="","",MAX($D$2:D612))</f>
        <v/>
      </c>
      <c r="F612" s="7">
        <f>IF(OR(E612="",D612=""),"",E612-D612)</f>
        <v/>
      </c>
      <c r="G612" s="8">
        <f>IF(OR(E612="",F612="",E612=0),"",F612/E612)</f>
        <v/>
      </c>
      <c r="H612" s="7" t="n"/>
      <c r="I612" s="7">
        <f>IF(OR(H612="",F612=""),"",H612-F612)</f>
        <v/>
      </c>
      <c r="J612">
        <f>IF(I612="","",IF(I612&lt;=0,"BREACH",IF(I612&lt;=500,"WARNING","OK")))</f>
        <v/>
      </c>
    </row>
    <row r="613">
      <c r="B613" s="7" t="n"/>
      <c r="C613" s="7" t="n"/>
      <c r="D613" s="7">
        <f>IF(OR(B613="",C613=""),"",B613+C613)</f>
        <v/>
      </c>
      <c r="E613" s="7">
        <f>IF(D613="","",MAX($D$2:D613))</f>
        <v/>
      </c>
      <c r="F613" s="7">
        <f>IF(OR(E613="",D613=""),"",E613-D613)</f>
        <v/>
      </c>
      <c r="G613" s="8">
        <f>IF(OR(E613="",F613="",E613=0),"",F613/E613)</f>
        <v/>
      </c>
      <c r="H613" s="7" t="n"/>
      <c r="I613" s="7">
        <f>IF(OR(H613="",F613=""),"",H613-F613)</f>
        <v/>
      </c>
      <c r="J613">
        <f>IF(I613="","",IF(I613&lt;=0,"BREACH",IF(I613&lt;=500,"WARNING","OK")))</f>
        <v/>
      </c>
    </row>
    <row r="614">
      <c r="B614" s="7" t="n"/>
      <c r="C614" s="7" t="n"/>
      <c r="D614" s="7">
        <f>IF(OR(B614="",C614=""),"",B614+C614)</f>
        <v/>
      </c>
      <c r="E614" s="7">
        <f>IF(D614="","",MAX($D$2:D614))</f>
        <v/>
      </c>
      <c r="F614" s="7">
        <f>IF(OR(E614="",D614=""),"",E614-D614)</f>
        <v/>
      </c>
      <c r="G614" s="8">
        <f>IF(OR(E614="",F614="",E614=0),"",F614/E614)</f>
        <v/>
      </c>
      <c r="H614" s="7" t="n"/>
      <c r="I614" s="7">
        <f>IF(OR(H614="",F614=""),"",H614-F614)</f>
        <v/>
      </c>
      <c r="J614">
        <f>IF(I614="","",IF(I614&lt;=0,"BREACH",IF(I614&lt;=500,"WARNING","OK")))</f>
        <v/>
      </c>
    </row>
    <row r="615">
      <c r="B615" s="7" t="n"/>
      <c r="C615" s="7" t="n"/>
      <c r="D615" s="7">
        <f>IF(OR(B615="",C615=""),"",B615+C615)</f>
        <v/>
      </c>
      <c r="E615" s="7">
        <f>IF(D615="","",MAX($D$2:D615))</f>
        <v/>
      </c>
      <c r="F615" s="7">
        <f>IF(OR(E615="",D615=""),"",E615-D615)</f>
        <v/>
      </c>
      <c r="G615" s="8">
        <f>IF(OR(E615="",F615="",E615=0),"",F615/E615)</f>
        <v/>
      </c>
      <c r="H615" s="7" t="n"/>
      <c r="I615" s="7">
        <f>IF(OR(H615="",F615=""),"",H615-F615)</f>
        <v/>
      </c>
      <c r="J615">
        <f>IF(I615="","",IF(I615&lt;=0,"BREACH",IF(I615&lt;=500,"WARNING","OK")))</f>
        <v/>
      </c>
    </row>
    <row r="616">
      <c r="B616" s="7" t="n"/>
      <c r="C616" s="7" t="n"/>
      <c r="D616" s="7">
        <f>IF(OR(B616="",C616=""),"",B616+C616)</f>
        <v/>
      </c>
      <c r="E616" s="7">
        <f>IF(D616="","",MAX($D$2:D616))</f>
        <v/>
      </c>
      <c r="F616" s="7">
        <f>IF(OR(E616="",D616=""),"",E616-D616)</f>
        <v/>
      </c>
      <c r="G616" s="8">
        <f>IF(OR(E616="",F616="",E616=0),"",F616/E616)</f>
        <v/>
      </c>
      <c r="H616" s="7" t="n"/>
      <c r="I616" s="7">
        <f>IF(OR(H616="",F616=""),"",H616-F616)</f>
        <v/>
      </c>
      <c r="J616">
        <f>IF(I616="","",IF(I616&lt;=0,"BREACH",IF(I616&lt;=500,"WARNING","OK")))</f>
        <v/>
      </c>
    </row>
    <row r="617">
      <c r="B617" s="7" t="n"/>
      <c r="C617" s="7" t="n"/>
      <c r="D617" s="7">
        <f>IF(OR(B617="",C617=""),"",B617+C617)</f>
        <v/>
      </c>
      <c r="E617" s="7">
        <f>IF(D617="","",MAX($D$2:D617))</f>
        <v/>
      </c>
      <c r="F617" s="7">
        <f>IF(OR(E617="",D617=""),"",E617-D617)</f>
        <v/>
      </c>
      <c r="G617" s="8">
        <f>IF(OR(E617="",F617="",E617=0),"",F617/E617)</f>
        <v/>
      </c>
      <c r="H617" s="7" t="n"/>
      <c r="I617" s="7">
        <f>IF(OR(H617="",F617=""),"",H617-F617)</f>
        <v/>
      </c>
      <c r="J617">
        <f>IF(I617="","",IF(I617&lt;=0,"BREACH",IF(I617&lt;=500,"WARNING","OK")))</f>
        <v/>
      </c>
    </row>
    <row r="618">
      <c r="B618" s="7" t="n"/>
      <c r="C618" s="7" t="n"/>
      <c r="D618" s="7">
        <f>IF(OR(B618="",C618=""),"",B618+C618)</f>
        <v/>
      </c>
      <c r="E618" s="7">
        <f>IF(D618="","",MAX($D$2:D618))</f>
        <v/>
      </c>
      <c r="F618" s="7">
        <f>IF(OR(E618="",D618=""),"",E618-D618)</f>
        <v/>
      </c>
      <c r="G618" s="8">
        <f>IF(OR(E618="",F618="",E618=0),"",F618/E618)</f>
        <v/>
      </c>
      <c r="H618" s="7" t="n"/>
      <c r="I618" s="7">
        <f>IF(OR(H618="",F618=""),"",H618-F618)</f>
        <v/>
      </c>
      <c r="J618">
        <f>IF(I618="","",IF(I618&lt;=0,"BREACH",IF(I618&lt;=500,"WARNING","OK")))</f>
        <v/>
      </c>
    </row>
    <row r="619">
      <c r="B619" s="7" t="n"/>
      <c r="C619" s="7" t="n"/>
      <c r="D619" s="7">
        <f>IF(OR(B619="",C619=""),"",B619+C619)</f>
        <v/>
      </c>
      <c r="E619" s="7">
        <f>IF(D619="","",MAX($D$2:D619))</f>
        <v/>
      </c>
      <c r="F619" s="7">
        <f>IF(OR(E619="",D619=""),"",E619-D619)</f>
        <v/>
      </c>
      <c r="G619" s="8">
        <f>IF(OR(E619="",F619="",E619=0),"",F619/E619)</f>
        <v/>
      </c>
      <c r="H619" s="7" t="n"/>
      <c r="I619" s="7">
        <f>IF(OR(H619="",F619=""),"",H619-F619)</f>
        <v/>
      </c>
      <c r="J619">
        <f>IF(I619="","",IF(I619&lt;=0,"BREACH",IF(I619&lt;=500,"WARNING","OK")))</f>
        <v/>
      </c>
    </row>
    <row r="620">
      <c r="B620" s="7" t="n"/>
      <c r="C620" s="7" t="n"/>
      <c r="D620" s="7">
        <f>IF(OR(B620="",C620=""),"",B620+C620)</f>
        <v/>
      </c>
      <c r="E620" s="7">
        <f>IF(D620="","",MAX($D$2:D620))</f>
        <v/>
      </c>
      <c r="F620" s="7">
        <f>IF(OR(E620="",D620=""),"",E620-D620)</f>
        <v/>
      </c>
      <c r="G620" s="8">
        <f>IF(OR(E620="",F620="",E620=0),"",F620/E620)</f>
        <v/>
      </c>
      <c r="H620" s="7" t="n"/>
      <c r="I620" s="7">
        <f>IF(OR(H620="",F620=""),"",H620-F620)</f>
        <v/>
      </c>
      <c r="J620">
        <f>IF(I620="","",IF(I620&lt;=0,"BREACH",IF(I620&lt;=500,"WARNING","OK")))</f>
        <v/>
      </c>
    </row>
    <row r="621">
      <c r="B621" s="7" t="n"/>
      <c r="C621" s="7" t="n"/>
      <c r="D621" s="7">
        <f>IF(OR(B621="",C621=""),"",B621+C621)</f>
        <v/>
      </c>
      <c r="E621" s="7">
        <f>IF(D621="","",MAX($D$2:D621))</f>
        <v/>
      </c>
      <c r="F621" s="7">
        <f>IF(OR(E621="",D621=""),"",E621-D621)</f>
        <v/>
      </c>
      <c r="G621" s="8">
        <f>IF(OR(E621="",F621="",E621=0),"",F621/E621)</f>
        <v/>
      </c>
      <c r="H621" s="7" t="n"/>
      <c r="I621" s="7">
        <f>IF(OR(H621="",F621=""),"",H621-F621)</f>
        <v/>
      </c>
      <c r="J621">
        <f>IF(I621="","",IF(I621&lt;=0,"BREACH",IF(I621&lt;=500,"WARNING","OK")))</f>
        <v/>
      </c>
    </row>
    <row r="622">
      <c r="B622" s="7" t="n"/>
      <c r="C622" s="7" t="n"/>
      <c r="D622" s="7">
        <f>IF(OR(B622="",C622=""),"",B622+C622)</f>
        <v/>
      </c>
      <c r="E622" s="7">
        <f>IF(D622="","",MAX($D$2:D622))</f>
        <v/>
      </c>
      <c r="F622" s="7">
        <f>IF(OR(E622="",D622=""),"",E622-D622)</f>
        <v/>
      </c>
      <c r="G622" s="8">
        <f>IF(OR(E622="",F622="",E622=0),"",F622/E622)</f>
        <v/>
      </c>
      <c r="H622" s="7" t="n"/>
      <c r="I622" s="7">
        <f>IF(OR(H622="",F622=""),"",H622-F622)</f>
        <v/>
      </c>
      <c r="J622">
        <f>IF(I622="","",IF(I622&lt;=0,"BREACH",IF(I622&lt;=500,"WARNING","OK")))</f>
        <v/>
      </c>
    </row>
    <row r="623">
      <c r="B623" s="7" t="n"/>
      <c r="C623" s="7" t="n"/>
      <c r="D623" s="7">
        <f>IF(OR(B623="",C623=""),"",B623+C623)</f>
        <v/>
      </c>
      <c r="E623" s="7">
        <f>IF(D623="","",MAX($D$2:D623))</f>
        <v/>
      </c>
      <c r="F623" s="7">
        <f>IF(OR(E623="",D623=""),"",E623-D623)</f>
        <v/>
      </c>
      <c r="G623" s="8">
        <f>IF(OR(E623="",F623="",E623=0),"",F623/E623)</f>
        <v/>
      </c>
      <c r="H623" s="7" t="n"/>
      <c r="I623" s="7">
        <f>IF(OR(H623="",F623=""),"",H623-F623)</f>
        <v/>
      </c>
      <c r="J623">
        <f>IF(I623="","",IF(I623&lt;=0,"BREACH",IF(I623&lt;=500,"WARNING","OK")))</f>
        <v/>
      </c>
    </row>
    <row r="624">
      <c r="B624" s="7" t="n"/>
      <c r="C624" s="7" t="n"/>
      <c r="D624" s="7">
        <f>IF(OR(B624="",C624=""),"",B624+C624)</f>
        <v/>
      </c>
      <c r="E624" s="7">
        <f>IF(D624="","",MAX($D$2:D624))</f>
        <v/>
      </c>
      <c r="F624" s="7">
        <f>IF(OR(E624="",D624=""),"",E624-D624)</f>
        <v/>
      </c>
      <c r="G624" s="8">
        <f>IF(OR(E624="",F624="",E624=0),"",F624/E624)</f>
        <v/>
      </c>
      <c r="H624" s="7" t="n"/>
      <c r="I624" s="7">
        <f>IF(OR(H624="",F624=""),"",H624-F624)</f>
        <v/>
      </c>
      <c r="J624">
        <f>IF(I624="","",IF(I624&lt;=0,"BREACH",IF(I624&lt;=500,"WARNING","OK")))</f>
        <v/>
      </c>
    </row>
    <row r="625">
      <c r="B625" s="7" t="n"/>
      <c r="C625" s="7" t="n"/>
      <c r="D625" s="7">
        <f>IF(OR(B625="",C625=""),"",B625+C625)</f>
        <v/>
      </c>
      <c r="E625" s="7">
        <f>IF(D625="","",MAX($D$2:D625))</f>
        <v/>
      </c>
      <c r="F625" s="7">
        <f>IF(OR(E625="",D625=""),"",E625-D625)</f>
        <v/>
      </c>
      <c r="G625" s="8">
        <f>IF(OR(E625="",F625="",E625=0),"",F625/E625)</f>
        <v/>
      </c>
      <c r="H625" s="7" t="n"/>
      <c r="I625" s="7">
        <f>IF(OR(H625="",F625=""),"",H625-F625)</f>
        <v/>
      </c>
      <c r="J625">
        <f>IF(I625="","",IF(I625&lt;=0,"BREACH",IF(I625&lt;=500,"WARNING","OK")))</f>
        <v/>
      </c>
    </row>
    <row r="626">
      <c r="B626" s="7" t="n"/>
      <c r="C626" s="7" t="n"/>
      <c r="D626" s="7">
        <f>IF(OR(B626="",C626=""),"",B626+C626)</f>
        <v/>
      </c>
      <c r="E626" s="7">
        <f>IF(D626="","",MAX($D$2:D626))</f>
        <v/>
      </c>
      <c r="F626" s="7">
        <f>IF(OR(E626="",D626=""),"",E626-D626)</f>
        <v/>
      </c>
      <c r="G626" s="8">
        <f>IF(OR(E626="",F626="",E626=0),"",F626/E626)</f>
        <v/>
      </c>
      <c r="H626" s="7" t="n"/>
      <c r="I626" s="7">
        <f>IF(OR(H626="",F626=""),"",H626-F626)</f>
        <v/>
      </c>
      <c r="J626">
        <f>IF(I626="","",IF(I626&lt;=0,"BREACH",IF(I626&lt;=500,"WARNING","OK")))</f>
        <v/>
      </c>
    </row>
    <row r="627">
      <c r="B627" s="7" t="n"/>
      <c r="C627" s="7" t="n"/>
      <c r="D627" s="7">
        <f>IF(OR(B627="",C627=""),"",B627+C627)</f>
        <v/>
      </c>
      <c r="E627" s="7">
        <f>IF(D627="","",MAX($D$2:D627))</f>
        <v/>
      </c>
      <c r="F627" s="7">
        <f>IF(OR(E627="",D627=""),"",E627-D627)</f>
        <v/>
      </c>
      <c r="G627" s="8">
        <f>IF(OR(E627="",F627="",E627=0),"",F627/E627)</f>
        <v/>
      </c>
      <c r="H627" s="7" t="n"/>
      <c r="I627" s="7">
        <f>IF(OR(H627="",F627=""),"",H627-F627)</f>
        <v/>
      </c>
      <c r="J627">
        <f>IF(I627="","",IF(I627&lt;=0,"BREACH",IF(I627&lt;=500,"WARNING","OK")))</f>
        <v/>
      </c>
    </row>
    <row r="628">
      <c r="B628" s="7" t="n"/>
      <c r="C628" s="7" t="n"/>
      <c r="D628" s="7">
        <f>IF(OR(B628="",C628=""),"",B628+C628)</f>
        <v/>
      </c>
      <c r="E628" s="7">
        <f>IF(D628="","",MAX($D$2:D628))</f>
        <v/>
      </c>
      <c r="F628" s="7">
        <f>IF(OR(E628="",D628=""),"",E628-D628)</f>
        <v/>
      </c>
      <c r="G628" s="8">
        <f>IF(OR(E628="",F628="",E628=0),"",F628/E628)</f>
        <v/>
      </c>
      <c r="H628" s="7" t="n"/>
      <c r="I628" s="7">
        <f>IF(OR(H628="",F628=""),"",H628-F628)</f>
        <v/>
      </c>
      <c r="J628">
        <f>IF(I628="","",IF(I628&lt;=0,"BREACH",IF(I628&lt;=500,"WARNING","OK")))</f>
        <v/>
      </c>
    </row>
    <row r="629">
      <c r="B629" s="7" t="n"/>
      <c r="C629" s="7" t="n"/>
      <c r="D629" s="7">
        <f>IF(OR(B629="",C629=""),"",B629+C629)</f>
        <v/>
      </c>
      <c r="E629" s="7">
        <f>IF(D629="","",MAX($D$2:D629))</f>
        <v/>
      </c>
      <c r="F629" s="7">
        <f>IF(OR(E629="",D629=""),"",E629-D629)</f>
        <v/>
      </c>
      <c r="G629" s="8">
        <f>IF(OR(E629="",F629="",E629=0),"",F629/E629)</f>
        <v/>
      </c>
      <c r="H629" s="7" t="n"/>
      <c r="I629" s="7">
        <f>IF(OR(H629="",F629=""),"",H629-F629)</f>
        <v/>
      </c>
      <c r="J629">
        <f>IF(I629="","",IF(I629&lt;=0,"BREACH",IF(I629&lt;=500,"WARNING","OK")))</f>
        <v/>
      </c>
    </row>
    <row r="630">
      <c r="B630" s="7" t="n"/>
      <c r="C630" s="7" t="n"/>
      <c r="D630" s="7">
        <f>IF(OR(B630="",C630=""),"",B630+C630)</f>
        <v/>
      </c>
      <c r="E630" s="7">
        <f>IF(D630="","",MAX($D$2:D630))</f>
        <v/>
      </c>
      <c r="F630" s="7">
        <f>IF(OR(E630="",D630=""),"",E630-D630)</f>
        <v/>
      </c>
      <c r="G630" s="8">
        <f>IF(OR(E630="",F630="",E630=0),"",F630/E630)</f>
        <v/>
      </c>
      <c r="H630" s="7" t="n"/>
      <c r="I630" s="7">
        <f>IF(OR(H630="",F630=""),"",H630-F630)</f>
        <v/>
      </c>
      <c r="J630">
        <f>IF(I630="","",IF(I630&lt;=0,"BREACH",IF(I630&lt;=500,"WARNING","OK")))</f>
        <v/>
      </c>
    </row>
    <row r="631">
      <c r="B631" s="7" t="n"/>
      <c r="C631" s="7" t="n"/>
      <c r="D631" s="7">
        <f>IF(OR(B631="",C631=""),"",B631+C631)</f>
        <v/>
      </c>
      <c r="E631" s="7">
        <f>IF(D631="","",MAX($D$2:D631))</f>
        <v/>
      </c>
      <c r="F631" s="7">
        <f>IF(OR(E631="",D631=""),"",E631-D631)</f>
        <v/>
      </c>
      <c r="G631" s="8">
        <f>IF(OR(E631="",F631="",E631=0),"",F631/E631)</f>
        <v/>
      </c>
      <c r="H631" s="7" t="n"/>
      <c r="I631" s="7">
        <f>IF(OR(H631="",F631=""),"",H631-F631)</f>
        <v/>
      </c>
      <c r="J631">
        <f>IF(I631="","",IF(I631&lt;=0,"BREACH",IF(I631&lt;=500,"WARNING","OK")))</f>
        <v/>
      </c>
    </row>
    <row r="632">
      <c r="B632" s="7" t="n"/>
      <c r="C632" s="7" t="n"/>
      <c r="D632" s="7">
        <f>IF(OR(B632="",C632=""),"",B632+C632)</f>
        <v/>
      </c>
      <c r="E632" s="7">
        <f>IF(D632="","",MAX($D$2:D632))</f>
        <v/>
      </c>
      <c r="F632" s="7">
        <f>IF(OR(E632="",D632=""),"",E632-D632)</f>
        <v/>
      </c>
      <c r="G632" s="8">
        <f>IF(OR(E632="",F632="",E632=0),"",F632/E632)</f>
        <v/>
      </c>
      <c r="H632" s="7" t="n"/>
      <c r="I632" s="7">
        <f>IF(OR(H632="",F632=""),"",H632-F632)</f>
        <v/>
      </c>
      <c r="J632">
        <f>IF(I632="","",IF(I632&lt;=0,"BREACH",IF(I632&lt;=500,"WARNING","OK")))</f>
        <v/>
      </c>
    </row>
    <row r="633">
      <c r="B633" s="7" t="n"/>
      <c r="C633" s="7" t="n"/>
      <c r="D633" s="7">
        <f>IF(OR(B633="",C633=""),"",B633+C633)</f>
        <v/>
      </c>
      <c r="E633" s="7">
        <f>IF(D633="","",MAX($D$2:D633))</f>
        <v/>
      </c>
      <c r="F633" s="7">
        <f>IF(OR(E633="",D633=""),"",E633-D633)</f>
        <v/>
      </c>
      <c r="G633" s="8">
        <f>IF(OR(E633="",F633="",E633=0),"",F633/E633)</f>
        <v/>
      </c>
      <c r="H633" s="7" t="n"/>
      <c r="I633" s="7">
        <f>IF(OR(H633="",F633=""),"",H633-F633)</f>
        <v/>
      </c>
      <c r="J633">
        <f>IF(I633="","",IF(I633&lt;=0,"BREACH",IF(I633&lt;=500,"WARNING","OK")))</f>
        <v/>
      </c>
    </row>
    <row r="634">
      <c r="B634" s="7" t="n"/>
      <c r="C634" s="7" t="n"/>
      <c r="D634" s="7">
        <f>IF(OR(B634="",C634=""),"",B634+C634)</f>
        <v/>
      </c>
      <c r="E634" s="7">
        <f>IF(D634="","",MAX($D$2:D634))</f>
        <v/>
      </c>
      <c r="F634" s="7">
        <f>IF(OR(E634="",D634=""),"",E634-D634)</f>
        <v/>
      </c>
      <c r="G634" s="8">
        <f>IF(OR(E634="",F634="",E634=0),"",F634/E634)</f>
        <v/>
      </c>
      <c r="H634" s="7" t="n"/>
      <c r="I634" s="7">
        <f>IF(OR(H634="",F634=""),"",H634-F634)</f>
        <v/>
      </c>
      <c r="J634">
        <f>IF(I634="","",IF(I634&lt;=0,"BREACH",IF(I634&lt;=500,"WARNING","OK")))</f>
        <v/>
      </c>
    </row>
    <row r="635">
      <c r="B635" s="7" t="n"/>
      <c r="C635" s="7" t="n"/>
      <c r="D635" s="7">
        <f>IF(OR(B635="",C635=""),"",B635+C635)</f>
        <v/>
      </c>
      <c r="E635" s="7">
        <f>IF(D635="","",MAX($D$2:D635))</f>
        <v/>
      </c>
      <c r="F635" s="7">
        <f>IF(OR(E635="",D635=""),"",E635-D635)</f>
        <v/>
      </c>
      <c r="G635" s="8">
        <f>IF(OR(E635="",F635="",E635=0),"",F635/E635)</f>
        <v/>
      </c>
      <c r="H635" s="7" t="n"/>
      <c r="I635" s="7">
        <f>IF(OR(H635="",F635=""),"",H635-F635)</f>
        <v/>
      </c>
      <c r="J635">
        <f>IF(I635="","",IF(I635&lt;=0,"BREACH",IF(I635&lt;=500,"WARNING","OK")))</f>
        <v/>
      </c>
    </row>
    <row r="636">
      <c r="B636" s="7" t="n"/>
      <c r="C636" s="7" t="n"/>
      <c r="D636" s="7">
        <f>IF(OR(B636="",C636=""),"",B636+C636)</f>
        <v/>
      </c>
      <c r="E636" s="7">
        <f>IF(D636="","",MAX($D$2:D636))</f>
        <v/>
      </c>
      <c r="F636" s="7">
        <f>IF(OR(E636="",D636=""),"",E636-D636)</f>
        <v/>
      </c>
      <c r="G636" s="8">
        <f>IF(OR(E636="",F636="",E636=0),"",F636/E636)</f>
        <v/>
      </c>
      <c r="H636" s="7" t="n"/>
      <c r="I636" s="7">
        <f>IF(OR(H636="",F636=""),"",H636-F636)</f>
        <v/>
      </c>
      <c r="J636">
        <f>IF(I636="","",IF(I636&lt;=0,"BREACH",IF(I636&lt;=500,"WARNING","OK")))</f>
        <v/>
      </c>
    </row>
    <row r="637">
      <c r="B637" s="7" t="n"/>
      <c r="C637" s="7" t="n"/>
      <c r="D637" s="7">
        <f>IF(OR(B637="",C637=""),"",B637+C637)</f>
        <v/>
      </c>
      <c r="E637" s="7">
        <f>IF(D637="","",MAX($D$2:D637))</f>
        <v/>
      </c>
      <c r="F637" s="7">
        <f>IF(OR(E637="",D637=""),"",E637-D637)</f>
        <v/>
      </c>
      <c r="G637" s="8">
        <f>IF(OR(E637="",F637="",E637=0),"",F637/E637)</f>
        <v/>
      </c>
      <c r="H637" s="7" t="n"/>
      <c r="I637" s="7">
        <f>IF(OR(H637="",F637=""),"",H637-F637)</f>
        <v/>
      </c>
      <c r="J637">
        <f>IF(I637="","",IF(I637&lt;=0,"BREACH",IF(I637&lt;=500,"WARNING","OK")))</f>
        <v/>
      </c>
    </row>
    <row r="638">
      <c r="B638" s="7" t="n"/>
      <c r="C638" s="7" t="n"/>
      <c r="D638" s="7">
        <f>IF(OR(B638="",C638=""),"",B638+C638)</f>
        <v/>
      </c>
      <c r="E638" s="7">
        <f>IF(D638="","",MAX($D$2:D638))</f>
        <v/>
      </c>
      <c r="F638" s="7">
        <f>IF(OR(E638="",D638=""),"",E638-D638)</f>
        <v/>
      </c>
      <c r="G638" s="8">
        <f>IF(OR(E638="",F638="",E638=0),"",F638/E638)</f>
        <v/>
      </c>
      <c r="H638" s="7" t="n"/>
      <c r="I638" s="7">
        <f>IF(OR(H638="",F638=""),"",H638-F638)</f>
        <v/>
      </c>
      <c r="J638">
        <f>IF(I638="","",IF(I638&lt;=0,"BREACH",IF(I638&lt;=500,"WARNING","OK")))</f>
        <v/>
      </c>
    </row>
    <row r="639">
      <c r="B639" s="7" t="n"/>
      <c r="C639" s="7" t="n"/>
      <c r="D639" s="7">
        <f>IF(OR(B639="",C639=""),"",B639+C639)</f>
        <v/>
      </c>
      <c r="E639" s="7">
        <f>IF(D639="","",MAX($D$2:D639))</f>
        <v/>
      </c>
      <c r="F639" s="7">
        <f>IF(OR(E639="",D639=""),"",E639-D639)</f>
        <v/>
      </c>
      <c r="G639" s="8">
        <f>IF(OR(E639="",F639="",E639=0),"",F639/E639)</f>
        <v/>
      </c>
      <c r="H639" s="7" t="n"/>
      <c r="I639" s="7">
        <f>IF(OR(H639="",F639=""),"",H639-F639)</f>
        <v/>
      </c>
      <c r="J639">
        <f>IF(I639="","",IF(I639&lt;=0,"BREACH",IF(I639&lt;=500,"WARNING","OK")))</f>
        <v/>
      </c>
    </row>
    <row r="640">
      <c r="B640" s="7" t="n"/>
      <c r="C640" s="7" t="n"/>
      <c r="D640" s="7">
        <f>IF(OR(B640="",C640=""),"",B640+C640)</f>
        <v/>
      </c>
      <c r="E640" s="7">
        <f>IF(D640="","",MAX($D$2:D640))</f>
        <v/>
      </c>
      <c r="F640" s="7">
        <f>IF(OR(E640="",D640=""),"",E640-D640)</f>
        <v/>
      </c>
      <c r="G640" s="8">
        <f>IF(OR(E640="",F640="",E640=0),"",F640/E640)</f>
        <v/>
      </c>
      <c r="H640" s="7" t="n"/>
      <c r="I640" s="7">
        <f>IF(OR(H640="",F640=""),"",H640-F640)</f>
        <v/>
      </c>
      <c r="J640">
        <f>IF(I640="","",IF(I640&lt;=0,"BREACH",IF(I640&lt;=500,"WARNING","OK")))</f>
        <v/>
      </c>
    </row>
    <row r="641">
      <c r="B641" s="7" t="n"/>
      <c r="C641" s="7" t="n"/>
      <c r="D641" s="7">
        <f>IF(OR(B641="",C641=""),"",B641+C641)</f>
        <v/>
      </c>
      <c r="E641" s="7">
        <f>IF(D641="","",MAX($D$2:D641))</f>
        <v/>
      </c>
      <c r="F641" s="7">
        <f>IF(OR(E641="",D641=""),"",E641-D641)</f>
        <v/>
      </c>
      <c r="G641" s="8">
        <f>IF(OR(E641="",F641="",E641=0),"",F641/E641)</f>
        <v/>
      </c>
      <c r="H641" s="7" t="n"/>
      <c r="I641" s="7">
        <f>IF(OR(H641="",F641=""),"",H641-F641)</f>
        <v/>
      </c>
      <c r="J641">
        <f>IF(I641="","",IF(I641&lt;=0,"BREACH",IF(I641&lt;=500,"WARNING","OK")))</f>
        <v/>
      </c>
    </row>
    <row r="642">
      <c r="B642" s="7" t="n"/>
      <c r="C642" s="7" t="n"/>
      <c r="D642" s="7">
        <f>IF(OR(B642="",C642=""),"",B642+C642)</f>
        <v/>
      </c>
      <c r="E642" s="7">
        <f>IF(D642="","",MAX($D$2:D642))</f>
        <v/>
      </c>
      <c r="F642" s="7">
        <f>IF(OR(E642="",D642=""),"",E642-D642)</f>
        <v/>
      </c>
      <c r="G642" s="8">
        <f>IF(OR(E642="",F642="",E642=0),"",F642/E642)</f>
        <v/>
      </c>
      <c r="H642" s="7" t="n"/>
      <c r="I642" s="7">
        <f>IF(OR(H642="",F642=""),"",H642-F642)</f>
        <v/>
      </c>
      <c r="J642">
        <f>IF(I642="","",IF(I642&lt;=0,"BREACH",IF(I642&lt;=500,"WARNING","OK")))</f>
        <v/>
      </c>
    </row>
    <row r="643">
      <c r="B643" s="7" t="n"/>
      <c r="C643" s="7" t="n"/>
      <c r="D643" s="7">
        <f>IF(OR(B643="",C643=""),"",B643+C643)</f>
        <v/>
      </c>
      <c r="E643" s="7">
        <f>IF(D643="","",MAX($D$2:D643))</f>
        <v/>
      </c>
      <c r="F643" s="7">
        <f>IF(OR(E643="",D643=""),"",E643-D643)</f>
        <v/>
      </c>
      <c r="G643" s="8">
        <f>IF(OR(E643="",F643="",E643=0),"",F643/E643)</f>
        <v/>
      </c>
      <c r="H643" s="7" t="n"/>
      <c r="I643" s="7">
        <f>IF(OR(H643="",F643=""),"",H643-F643)</f>
        <v/>
      </c>
      <c r="J643">
        <f>IF(I643="","",IF(I643&lt;=0,"BREACH",IF(I643&lt;=500,"WARNING","OK")))</f>
        <v/>
      </c>
    </row>
    <row r="644">
      <c r="B644" s="7" t="n"/>
      <c r="C644" s="7" t="n"/>
      <c r="D644" s="7">
        <f>IF(OR(B644="",C644=""),"",B644+C644)</f>
        <v/>
      </c>
      <c r="E644" s="7">
        <f>IF(D644="","",MAX($D$2:D644))</f>
        <v/>
      </c>
      <c r="F644" s="7">
        <f>IF(OR(E644="",D644=""),"",E644-D644)</f>
        <v/>
      </c>
      <c r="G644" s="8">
        <f>IF(OR(E644="",F644="",E644=0),"",F644/E644)</f>
        <v/>
      </c>
      <c r="H644" s="7" t="n"/>
      <c r="I644" s="7">
        <f>IF(OR(H644="",F644=""),"",H644-F644)</f>
        <v/>
      </c>
      <c r="J644">
        <f>IF(I644="","",IF(I644&lt;=0,"BREACH",IF(I644&lt;=500,"WARNING","OK")))</f>
        <v/>
      </c>
    </row>
    <row r="645">
      <c r="B645" s="7" t="n"/>
      <c r="C645" s="7" t="n"/>
      <c r="D645" s="7">
        <f>IF(OR(B645="",C645=""),"",B645+C645)</f>
        <v/>
      </c>
      <c r="E645" s="7">
        <f>IF(D645="","",MAX($D$2:D645))</f>
        <v/>
      </c>
      <c r="F645" s="7">
        <f>IF(OR(E645="",D645=""),"",E645-D645)</f>
        <v/>
      </c>
      <c r="G645" s="8">
        <f>IF(OR(E645="",F645="",E645=0),"",F645/E645)</f>
        <v/>
      </c>
      <c r="H645" s="7" t="n"/>
      <c r="I645" s="7">
        <f>IF(OR(H645="",F645=""),"",H645-F645)</f>
        <v/>
      </c>
      <c r="J645">
        <f>IF(I645="","",IF(I645&lt;=0,"BREACH",IF(I645&lt;=500,"WARNING","OK")))</f>
        <v/>
      </c>
    </row>
    <row r="646">
      <c r="B646" s="7" t="n"/>
      <c r="C646" s="7" t="n"/>
      <c r="D646" s="7">
        <f>IF(OR(B646="",C646=""),"",B646+C646)</f>
        <v/>
      </c>
      <c r="E646" s="7">
        <f>IF(D646="","",MAX($D$2:D646))</f>
        <v/>
      </c>
      <c r="F646" s="7">
        <f>IF(OR(E646="",D646=""),"",E646-D646)</f>
        <v/>
      </c>
      <c r="G646" s="8">
        <f>IF(OR(E646="",F646="",E646=0),"",F646/E646)</f>
        <v/>
      </c>
      <c r="H646" s="7" t="n"/>
      <c r="I646" s="7">
        <f>IF(OR(H646="",F646=""),"",H646-F646)</f>
        <v/>
      </c>
      <c r="J646">
        <f>IF(I646="","",IF(I646&lt;=0,"BREACH",IF(I646&lt;=500,"WARNING","OK")))</f>
        <v/>
      </c>
    </row>
    <row r="647">
      <c r="B647" s="7" t="n"/>
      <c r="C647" s="7" t="n"/>
      <c r="D647" s="7">
        <f>IF(OR(B647="",C647=""),"",B647+C647)</f>
        <v/>
      </c>
      <c r="E647" s="7">
        <f>IF(D647="","",MAX($D$2:D647))</f>
        <v/>
      </c>
      <c r="F647" s="7">
        <f>IF(OR(E647="",D647=""),"",E647-D647)</f>
        <v/>
      </c>
      <c r="G647" s="8">
        <f>IF(OR(E647="",F647="",E647=0),"",F647/E647)</f>
        <v/>
      </c>
      <c r="H647" s="7" t="n"/>
      <c r="I647" s="7">
        <f>IF(OR(H647="",F647=""),"",H647-F647)</f>
        <v/>
      </c>
      <c r="J647">
        <f>IF(I647="","",IF(I647&lt;=0,"BREACH",IF(I647&lt;=500,"WARNING","OK")))</f>
        <v/>
      </c>
    </row>
    <row r="648">
      <c r="B648" s="7" t="n"/>
      <c r="C648" s="7" t="n"/>
      <c r="D648" s="7">
        <f>IF(OR(B648="",C648=""),"",B648+C648)</f>
        <v/>
      </c>
      <c r="E648" s="7">
        <f>IF(D648="","",MAX($D$2:D648))</f>
        <v/>
      </c>
      <c r="F648" s="7">
        <f>IF(OR(E648="",D648=""),"",E648-D648)</f>
        <v/>
      </c>
      <c r="G648" s="8">
        <f>IF(OR(E648="",F648="",E648=0),"",F648/E648)</f>
        <v/>
      </c>
      <c r="H648" s="7" t="n"/>
      <c r="I648" s="7">
        <f>IF(OR(H648="",F648=""),"",H648-F648)</f>
        <v/>
      </c>
      <c r="J648">
        <f>IF(I648="","",IF(I648&lt;=0,"BREACH",IF(I648&lt;=500,"WARNING","OK")))</f>
        <v/>
      </c>
    </row>
    <row r="649">
      <c r="B649" s="7" t="n"/>
      <c r="C649" s="7" t="n"/>
      <c r="D649" s="7">
        <f>IF(OR(B649="",C649=""),"",B649+C649)</f>
        <v/>
      </c>
      <c r="E649" s="7">
        <f>IF(D649="","",MAX($D$2:D649))</f>
        <v/>
      </c>
      <c r="F649" s="7">
        <f>IF(OR(E649="",D649=""),"",E649-D649)</f>
        <v/>
      </c>
      <c r="G649" s="8">
        <f>IF(OR(E649="",F649="",E649=0),"",F649/E649)</f>
        <v/>
      </c>
      <c r="H649" s="7" t="n"/>
      <c r="I649" s="7">
        <f>IF(OR(H649="",F649=""),"",H649-F649)</f>
        <v/>
      </c>
      <c r="J649">
        <f>IF(I649="","",IF(I649&lt;=0,"BREACH",IF(I649&lt;=500,"WARNING","OK")))</f>
        <v/>
      </c>
    </row>
    <row r="650">
      <c r="B650" s="7" t="n"/>
      <c r="C650" s="7" t="n"/>
      <c r="D650" s="7">
        <f>IF(OR(B650="",C650=""),"",B650+C650)</f>
        <v/>
      </c>
      <c r="E650" s="7">
        <f>IF(D650="","",MAX($D$2:D650))</f>
        <v/>
      </c>
      <c r="F650" s="7">
        <f>IF(OR(E650="",D650=""),"",E650-D650)</f>
        <v/>
      </c>
      <c r="G650" s="8">
        <f>IF(OR(E650="",F650="",E650=0),"",F650/E650)</f>
        <v/>
      </c>
      <c r="H650" s="7" t="n"/>
      <c r="I650" s="7">
        <f>IF(OR(H650="",F650=""),"",H650-F650)</f>
        <v/>
      </c>
      <c r="J650">
        <f>IF(I650="","",IF(I650&lt;=0,"BREACH",IF(I650&lt;=500,"WARNING","OK")))</f>
        <v/>
      </c>
    </row>
    <row r="651">
      <c r="B651" s="7" t="n"/>
      <c r="C651" s="7" t="n"/>
      <c r="D651" s="7">
        <f>IF(OR(B651="",C651=""),"",B651+C651)</f>
        <v/>
      </c>
      <c r="E651" s="7">
        <f>IF(D651="","",MAX($D$2:D651))</f>
        <v/>
      </c>
      <c r="F651" s="7">
        <f>IF(OR(E651="",D651=""),"",E651-D651)</f>
        <v/>
      </c>
      <c r="G651" s="8">
        <f>IF(OR(E651="",F651="",E651=0),"",F651/E651)</f>
        <v/>
      </c>
      <c r="H651" s="7" t="n"/>
      <c r="I651" s="7">
        <f>IF(OR(H651="",F651=""),"",H651-F651)</f>
        <v/>
      </c>
      <c r="J651">
        <f>IF(I651="","",IF(I651&lt;=0,"BREACH",IF(I651&lt;=500,"WARNING","OK")))</f>
        <v/>
      </c>
    </row>
    <row r="652">
      <c r="B652" s="7" t="n"/>
      <c r="C652" s="7" t="n"/>
      <c r="D652" s="7">
        <f>IF(OR(B652="",C652=""),"",B652+C652)</f>
        <v/>
      </c>
      <c r="E652" s="7">
        <f>IF(D652="","",MAX($D$2:D652))</f>
        <v/>
      </c>
      <c r="F652" s="7">
        <f>IF(OR(E652="",D652=""),"",E652-D652)</f>
        <v/>
      </c>
      <c r="G652" s="8">
        <f>IF(OR(E652="",F652="",E652=0),"",F652/E652)</f>
        <v/>
      </c>
      <c r="H652" s="7" t="n"/>
      <c r="I652" s="7">
        <f>IF(OR(H652="",F652=""),"",H652-F652)</f>
        <v/>
      </c>
      <c r="J652">
        <f>IF(I652="","",IF(I652&lt;=0,"BREACH",IF(I652&lt;=500,"WARNING","OK")))</f>
        <v/>
      </c>
    </row>
    <row r="653">
      <c r="B653" s="7" t="n"/>
      <c r="C653" s="7" t="n"/>
      <c r="D653" s="7">
        <f>IF(OR(B653="",C653=""),"",B653+C653)</f>
        <v/>
      </c>
      <c r="E653" s="7">
        <f>IF(D653="","",MAX($D$2:D653))</f>
        <v/>
      </c>
      <c r="F653" s="7">
        <f>IF(OR(E653="",D653=""),"",E653-D653)</f>
        <v/>
      </c>
      <c r="G653" s="8">
        <f>IF(OR(E653="",F653="",E653=0),"",F653/E653)</f>
        <v/>
      </c>
      <c r="H653" s="7" t="n"/>
      <c r="I653" s="7">
        <f>IF(OR(H653="",F653=""),"",H653-F653)</f>
        <v/>
      </c>
      <c r="J653">
        <f>IF(I653="","",IF(I653&lt;=0,"BREACH",IF(I653&lt;=500,"WARNING","OK")))</f>
        <v/>
      </c>
    </row>
    <row r="654">
      <c r="B654" s="7" t="n"/>
      <c r="C654" s="7" t="n"/>
      <c r="D654" s="7">
        <f>IF(OR(B654="",C654=""),"",B654+C654)</f>
        <v/>
      </c>
      <c r="E654" s="7">
        <f>IF(D654="","",MAX($D$2:D654))</f>
        <v/>
      </c>
      <c r="F654" s="7">
        <f>IF(OR(E654="",D654=""),"",E654-D654)</f>
        <v/>
      </c>
      <c r="G654" s="8">
        <f>IF(OR(E654="",F654="",E654=0),"",F654/E654)</f>
        <v/>
      </c>
      <c r="H654" s="7" t="n"/>
      <c r="I654" s="7">
        <f>IF(OR(H654="",F654=""),"",H654-F654)</f>
        <v/>
      </c>
      <c r="J654">
        <f>IF(I654="","",IF(I654&lt;=0,"BREACH",IF(I654&lt;=500,"WARNING","OK")))</f>
        <v/>
      </c>
    </row>
    <row r="655">
      <c r="B655" s="7" t="n"/>
      <c r="C655" s="7" t="n"/>
      <c r="D655" s="7">
        <f>IF(OR(B655="",C655=""),"",B655+C655)</f>
        <v/>
      </c>
      <c r="E655" s="7">
        <f>IF(D655="","",MAX($D$2:D655))</f>
        <v/>
      </c>
      <c r="F655" s="7">
        <f>IF(OR(E655="",D655=""),"",E655-D655)</f>
        <v/>
      </c>
      <c r="G655" s="8">
        <f>IF(OR(E655="",F655="",E655=0),"",F655/E655)</f>
        <v/>
      </c>
      <c r="H655" s="7" t="n"/>
      <c r="I655" s="7">
        <f>IF(OR(H655="",F655=""),"",H655-F655)</f>
        <v/>
      </c>
      <c r="J655">
        <f>IF(I655="","",IF(I655&lt;=0,"BREACH",IF(I655&lt;=500,"WARNING","OK")))</f>
        <v/>
      </c>
    </row>
    <row r="656">
      <c r="B656" s="7" t="n"/>
      <c r="C656" s="7" t="n"/>
      <c r="D656" s="7">
        <f>IF(OR(B656="",C656=""),"",B656+C656)</f>
        <v/>
      </c>
      <c r="E656" s="7">
        <f>IF(D656="","",MAX($D$2:D656))</f>
        <v/>
      </c>
      <c r="F656" s="7">
        <f>IF(OR(E656="",D656=""),"",E656-D656)</f>
        <v/>
      </c>
      <c r="G656" s="8">
        <f>IF(OR(E656="",F656="",E656=0),"",F656/E656)</f>
        <v/>
      </c>
      <c r="H656" s="7" t="n"/>
      <c r="I656" s="7">
        <f>IF(OR(H656="",F656=""),"",H656-F656)</f>
        <v/>
      </c>
      <c r="J656">
        <f>IF(I656="","",IF(I656&lt;=0,"BREACH",IF(I656&lt;=500,"WARNING","OK")))</f>
        <v/>
      </c>
    </row>
    <row r="657">
      <c r="B657" s="7" t="n"/>
      <c r="C657" s="7" t="n"/>
      <c r="D657" s="7">
        <f>IF(OR(B657="",C657=""),"",B657+C657)</f>
        <v/>
      </c>
      <c r="E657" s="7">
        <f>IF(D657="","",MAX($D$2:D657))</f>
        <v/>
      </c>
      <c r="F657" s="7">
        <f>IF(OR(E657="",D657=""),"",E657-D657)</f>
        <v/>
      </c>
      <c r="G657" s="8">
        <f>IF(OR(E657="",F657="",E657=0),"",F657/E657)</f>
        <v/>
      </c>
      <c r="H657" s="7" t="n"/>
      <c r="I657" s="7">
        <f>IF(OR(H657="",F657=""),"",H657-F657)</f>
        <v/>
      </c>
      <c r="J657">
        <f>IF(I657="","",IF(I657&lt;=0,"BREACH",IF(I657&lt;=500,"WARNING","OK")))</f>
        <v/>
      </c>
    </row>
    <row r="658">
      <c r="B658" s="7" t="n"/>
      <c r="C658" s="7" t="n"/>
      <c r="D658" s="7">
        <f>IF(OR(B658="",C658=""),"",B658+C658)</f>
        <v/>
      </c>
      <c r="E658" s="7">
        <f>IF(D658="","",MAX($D$2:D658))</f>
        <v/>
      </c>
      <c r="F658" s="7">
        <f>IF(OR(E658="",D658=""),"",E658-D658)</f>
        <v/>
      </c>
      <c r="G658" s="8">
        <f>IF(OR(E658="",F658="",E658=0),"",F658/E658)</f>
        <v/>
      </c>
      <c r="H658" s="7" t="n"/>
      <c r="I658" s="7">
        <f>IF(OR(H658="",F658=""),"",H658-F658)</f>
        <v/>
      </c>
      <c r="J658">
        <f>IF(I658="","",IF(I658&lt;=0,"BREACH",IF(I658&lt;=500,"WARNING","OK")))</f>
        <v/>
      </c>
    </row>
    <row r="659">
      <c r="B659" s="7" t="n"/>
      <c r="C659" s="7" t="n"/>
      <c r="D659" s="7">
        <f>IF(OR(B659="",C659=""),"",B659+C659)</f>
        <v/>
      </c>
      <c r="E659" s="7">
        <f>IF(D659="","",MAX($D$2:D659))</f>
        <v/>
      </c>
      <c r="F659" s="7">
        <f>IF(OR(E659="",D659=""),"",E659-D659)</f>
        <v/>
      </c>
      <c r="G659" s="8">
        <f>IF(OR(E659="",F659="",E659=0),"",F659/E659)</f>
        <v/>
      </c>
      <c r="H659" s="7" t="n"/>
      <c r="I659" s="7">
        <f>IF(OR(H659="",F659=""),"",H659-F659)</f>
        <v/>
      </c>
      <c r="J659">
        <f>IF(I659="","",IF(I659&lt;=0,"BREACH",IF(I659&lt;=500,"WARNING","OK")))</f>
        <v/>
      </c>
    </row>
    <row r="660">
      <c r="B660" s="7" t="n"/>
      <c r="C660" s="7" t="n"/>
      <c r="D660" s="7">
        <f>IF(OR(B660="",C660=""),"",B660+C660)</f>
        <v/>
      </c>
      <c r="E660" s="7">
        <f>IF(D660="","",MAX($D$2:D660))</f>
        <v/>
      </c>
      <c r="F660" s="7">
        <f>IF(OR(E660="",D660=""),"",E660-D660)</f>
        <v/>
      </c>
      <c r="G660" s="8">
        <f>IF(OR(E660="",F660="",E660=0),"",F660/E660)</f>
        <v/>
      </c>
      <c r="H660" s="7" t="n"/>
      <c r="I660" s="7">
        <f>IF(OR(H660="",F660=""),"",H660-F660)</f>
        <v/>
      </c>
      <c r="J660">
        <f>IF(I660="","",IF(I660&lt;=0,"BREACH",IF(I660&lt;=500,"WARNING","OK")))</f>
        <v/>
      </c>
    </row>
    <row r="661">
      <c r="B661" s="7" t="n"/>
      <c r="C661" s="7" t="n"/>
      <c r="D661" s="7">
        <f>IF(OR(B661="",C661=""),"",B661+C661)</f>
        <v/>
      </c>
      <c r="E661" s="7">
        <f>IF(D661="","",MAX($D$2:D661))</f>
        <v/>
      </c>
      <c r="F661" s="7">
        <f>IF(OR(E661="",D661=""),"",E661-D661)</f>
        <v/>
      </c>
      <c r="G661" s="8">
        <f>IF(OR(E661="",F661="",E661=0),"",F661/E661)</f>
        <v/>
      </c>
      <c r="H661" s="7" t="n"/>
      <c r="I661" s="7">
        <f>IF(OR(H661="",F661=""),"",H661-F661)</f>
        <v/>
      </c>
      <c r="J661">
        <f>IF(I661="","",IF(I661&lt;=0,"BREACH",IF(I661&lt;=500,"WARNING","OK")))</f>
        <v/>
      </c>
    </row>
    <row r="662">
      <c r="B662" s="7" t="n"/>
      <c r="C662" s="7" t="n"/>
      <c r="D662" s="7">
        <f>IF(OR(B662="",C662=""),"",B662+C662)</f>
        <v/>
      </c>
      <c r="E662" s="7">
        <f>IF(D662="","",MAX($D$2:D662))</f>
        <v/>
      </c>
      <c r="F662" s="7">
        <f>IF(OR(E662="",D662=""),"",E662-D662)</f>
        <v/>
      </c>
      <c r="G662" s="8">
        <f>IF(OR(E662="",F662="",E662=0),"",F662/E662)</f>
        <v/>
      </c>
      <c r="H662" s="7" t="n"/>
      <c r="I662" s="7">
        <f>IF(OR(H662="",F662=""),"",H662-F662)</f>
        <v/>
      </c>
      <c r="J662">
        <f>IF(I662="","",IF(I662&lt;=0,"BREACH",IF(I662&lt;=500,"WARNING","OK")))</f>
        <v/>
      </c>
    </row>
    <row r="663">
      <c r="B663" s="7" t="n"/>
      <c r="C663" s="7" t="n"/>
      <c r="D663" s="7">
        <f>IF(OR(B663="",C663=""),"",B663+C663)</f>
        <v/>
      </c>
      <c r="E663" s="7">
        <f>IF(D663="","",MAX($D$2:D663))</f>
        <v/>
      </c>
      <c r="F663" s="7">
        <f>IF(OR(E663="",D663=""),"",E663-D663)</f>
        <v/>
      </c>
      <c r="G663" s="8">
        <f>IF(OR(E663="",F663="",E663=0),"",F663/E663)</f>
        <v/>
      </c>
      <c r="H663" s="7" t="n"/>
      <c r="I663" s="7">
        <f>IF(OR(H663="",F663=""),"",H663-F663)</f>
        <v/>
      </c>
      <c r="J663">
        <f>IF(I663="","",IF(I663&lt;=0,"BREACH",IF(I663&lt;=500,"WARNING","OK")))</f>
        <v/>
      </c>
    </row>
    <row r="664">
      <c r="B664" s="7" t="n"/>
      <c r="C664" s="7" t="n"/>
      <c r="D664" s="7">
        <f>IF(OR(B664="",C664=""),"",B664+C664)</f>
        <v/>
      </c>
      <c r="E664" s="7">
        <f>IF(D664="","",MAX($D$2:D664))</f>
        <v/>
      </c>
      <c r="F664" s="7">
        <f>IF(OR(E664="",D664=""),"",E664-D664)</f>
        <v/>
      </c>
      <c r="G664" s="8">
        <f>IF(OR(E664="",F664="",E664=0),"",F664/E664)</f>
        <v/>
      </c>
      <c r="H664" s="7" t="n"/>
      <c r="I664" s="7">
        <f>IF(OR(H664="",F664=""),"",H664-F664)</f>
        <v/>
      </c>
      <c r="J664">
        <f>IF(I664="","",IF(I664&lt;=0,"BREACH",IF(I664&lt;=500,"WARNING","OK")))</f>
        <v/>
      </c>
    </row>
    <row r="665">
      <c r="B665" s="7" t="n"/>
      <c r="C665" s="7" t="n"/>
      <c r="D665" s="7">
        <f>IF(OR(B665="",C665=""),"",B665+C665)</f>
        <v/>
      </c>
      <c r="E665" s="7">
        <f>IF(D665="","",MAX($D$2:D665))</f>
        <v/>
      </c>
      <c r="F665" s="7">
        <f>IF(OR(E665="",D665=""),"",E665-D665)</f>
        <v/>
      </c>
      <c r="G665" s="8">
        <f>IF(OR(E665="",F665="",E665=0),"",F665/E665)</f>
        <v/>
      </c>
      <c r="H665" s="7" t="n"/>
      <c r="I665" s="7">
        <f>IF(OR(H665="",F665=""),"",H665-F665)</f>
        <v/>
      </c>
      <c r="J665">
        <f>IF(I665="","",IF(I665&lt;=0,"BREACH",IF(I665&lt;=500,"WARNING","OK")))</f>
        <v/>
      </c>
    </row>
    <row r="666">
      <c r="B666" s="7" t="n"/>
      <c r="C666" s="7" t="n"/>
      <c r="D666" s="7">
        <f>IF(OR(B666="",C666=""),"",B666+C666)</f>
        <v/>
      </c>
      <c r="E666" s="7">
        <f>IF(D666="","",MAX($D$2:D666))</f>
        <v/>
      </c>
      <c r="F666" s="7">
        <f>IF(OR(E666="",D666=""),"",E666-D666)</f>
        <v/>
      </c>
      <c r="G666" s="8">
        <f>IF(OR(E666="",F666="",E666=0),"",F666/E666)</f>
        <v/>
      </c>
      <c r="H666" s="7" t="n"/>
      <c r="I666" s="7">
        <f>IF(OR(H666="",F666=""),"",H666-F666)</f>
        <v/>
      </c>
      <c r="J666">
        <f>IF(I666="","",IF(I666&lt;=0,"BREACH",IF(I666&lt;=500,"WARNING","OK")))</f>
        <v/>
      </c>
    </row>
    <row r="667">
      <c r="B667" s="7" t="n"/>
      <c r="C667" s="7" t="n"/>
      <c r="D667" s="7">
        <f>IF(OR(B667="",C667=""),"",B667+C667)</f>
        <v/>
      </c>
      <c r="E667" s="7">
        <f>IF(D667="","",MAX($D$2:D667))</f>
        <v/>
      </c>
      <c r="F667" s="7">
        <f>IF(OR(E667="",D667=""),"",E667-D667)</f>
        <v/>
      </c>
      <c r="G667" s="8">
        <f>IF(OR(E667="",F667="",E667=0),"",F667/E667)</f>
        <v/>
      </c>
      <c r="H667" s="7" t="n"/>
      <c r="I667" s="7">
        <f>IF(OR(H667="",F667=""),"",H667-F667)</f>
        <v/>
      </c>
      <c r="J667">
        <f>IF(I667="","",IF(I667&lt;=0,"BREACH",IF(I667&lt;=500,"WARNING","OK")))</f>
        <v/>
      </c>
    </row>
    <row r="668">
      <c r="B668" s="7" t="n"/>
      <c r="C668" s="7" t="n"/>
      <c r="D668" s="7">
        <f>IF(OR(B668="",C668=""),"",B668+C668)</f>
        <v/>
      </c>
      <c r="E668" s="7">
        <f>IF(D668="","",MAX($D$2:D668))</f>
        <v/>
      </c>
      <c r="F668" s="7">
        <f>IF(OR(E668="",D668=""),"",E668-D668)</f>
        <v/>
      </c>
      <c r="G668" s="8">
        <f>IF(OR(E668="",F668="",E668=0),"",F668/E668)</f>
        <v/>
      </c>
      <c r="H668" s="7" t="n"/>
      <c r="I668" s="7">
        <f>IF(OR(H668="",F668=""),"",H668-F668)</f>
        <v/>
      </c>
      <c r="J668">
        <f>IF(I668="","",IF(I668&lt;=0,"BREACH",IF(I668&lt;=500,"WARNING","OK")))</f>
        <v/>
      </c>
    </row>
    <row r="669">
      <c r="B669" s="7" t="n"/>
      <c r="C669" s="7" t="n"/>
      <c r="D669" s="7">
        <f>IF(OR(B669="",C669=""),"",B669+C669)</f>
        <v/>
      </c>
      <c r="E669" s="7">
        <f>IF(D669="","",MAX($D$2:D669))</f>
        <v/>
      </c>
      <c r="F669" s="7">
        <f>IF(OR(E669="",D669=""),"",E669-D669)</f>
        <v/>
      </c>
      <c r="G669" s="8">
        <f>IF(OR(E669="",F669="",E669=0),"",F669/E669)</f>
        <v/>
      </c>
      <c r="H669" s="7" t="n"/>
      <c r="I669" s="7">
        <f>IF(OR(H669="",F669=""),"",H669-F669)</f>
        <v/>
      </c>
      <c r="J669">
        <f>IF(I669="","",IF(I669&lt;=0,"BREACH",IF(I669&lt;=500,"WARNING","OK")))</f>
        <v/>
      </c>
    </row>
    <row r="670">
      <c r="B670" s="7" t="n"/>
      <c r="C670" s="7" t="n"/>
      <c r="D670" s="7">
        <f>IF(OR(B670="",C670=""),"",B670+C670)</f>
        <v/>
      </c>
      <c r="E670" s="7">
        <f>IF(D670="","",MAX($D$2:D670))</f>
        <v/>
      </c>
      <c r="F670" s="7">
        <f>IF(OR(E670="",D670=""),"",E670-D670)</f>
        <v/>
      </c>
      <c r="G670" s="8">
        <f>IF(OR(E670="",F670="",E670=0),"",F670/E670)</f>
        <v/>
      </c>
      <c r="H670" s="7" t="n"/>
      <c r="I670" s="7">
        <f>IF(OR(H670="",F670=""),"",H670-F670)</f>
        <v/>
      </c>
      <c r="J670">
        <f>IF(I670="","",IF(I670&lt;=0,"BREACH",IF(I670&lt;=500,"WARNING","OK")))</f>
        <v/>
      </c>
    </row>
    <row r="671">
      <c r="B671" s="7" t="n"/>
      <c r="C671" s="7" t="n"/>
      <c r="D671" s="7">
        <f>IF(OR(B671="",C671=""),"",B671+C671)</f>
        <v/>
      </c>
      <c r="E671" s="7">
        <f>IF(D671="","",MAX($D$2:D671))</f>
        <v/>
      </c>
      <c r="F671" s="7">
        <f>IF(OR(E671="",D671=""),"",E671-D671)</f>
        <v/>
      </c>
      <c r="G671" s="8">
        <f>IF(OR(E671="",F671="",E671=0),"",F671/E671)</f>
        <v/>
      </c>
      <c r="H671" s="7" t="n"/>
      <c r="I671" s="7">
        <f>IF(OR(H671="",F671=""),"",H671-F671)</f>
        <v/>
      </c>
      <c r="J671">
        <f>IF(I671="","",IF(I671&lt;=0,"BREACH",IF(I671&lt;=500,"WARNING","OK")))</f>
        <v/>
      </c>
    </row>
    <row r="672">
      <c r="B672" s="7" t="n"/>
      <c r="C672" s="7" t="n"/>
      <c r="D672" s="7">
        <f>IF(OR(B672="",C672=""),"",B672+C672)</f>
        <v/>
      </c>
      <c r="E672" s="7">
        <f>IF(D672="","",MAX($D$2:D672))</f>
        <v/>
      </c>
      <c r="F672" s="7">
        <f>IF(OR(E672="",D672=""),"",E672-D672)</f>
        <v/>
      </c>
      <c r="G672" s="8">
        <f>IF(OR(E672="",F672="",E672=0),"",F672/E672)</f>
        <v/>
      </c>
      <c r="H672" s="7" t="n"/>
      <c r="I672" s="7">
        <f>IF(OR(H672="",F672=""),"",H672-F672)</f>
        <v/>
      </c>
      <c r="J672">
        <f>IF(I672="","",IF(I672&lt;=0,"BREACH",IF(I672&lt;=500,"WARNING","OK")))</f>
        <v/>
      </c>
    </row>
    <row r="673">
      <c r="B673" s="7" t="n"/>
      <c r="C673" s="7" t="n"/>
      <c r="D673" s="7">
        <f>IF(OR(B673="",C673=""),"",B673+C673)</f>
        <v/>
      </c>
      <c r="E673" s="7">
        <f>IF(D673="","",MAX($D$2:D673))</f>
        <v/>
      </c>
      <c r="F673" s="7">
        <f>IF(OR(E673="",D673=""),"",E673-D673)</f>
        <v/>
      </c>
      <c r="G673" s="8">
        <f>IF(OR(E673="",F673="",E673=0),"",F673/E673)</f>
        <v/>
      </c>
      <c r="H673" s="7" t="n"/>
      <c r="I673" s="7">
        <f>IF(OR(H673="",F673=""),"",H673-F673)</f>
        <v/>
      </c>
      <c r="J673">
        <f>IF(I673="","",IF(I673&lt;=0,"BREACH",IF(I673&lt;=500,"WARNING","OK")))</f>
        <v/>
      </c>
    </row>
    <row r="674">
      <c r="B674" s="7" t="n"/>
      <c r="C674" s="7" t="n"/>
      <c r="D674" s="7">
        <f>IF(OR(B674="",C674=""),"",B674+C674)</f>
        <v/>
      </c>
      <c r="E674" s="7">
        <f>IF(D674="","",MAX($D$2:D674))</f>
        <v/>
      </c>
      <c r="F674" s="7">
        <f>IF(OR(E674="",D674=""),"",E674-D674)</f>
        <v/>
      </c>
      <c r="G674" s="8">
        <f>IF(OR(E674="",F674="",E674=0),"",F674/E674)</f>
        <v/>
      </c>
      <c r="H674" s="7" t="n"/>
      <c r="I674" s="7">
        <f>IF(OR(H674="",F674=""),"",H674-F674)</f>
        <v/>
      </c>
      <c r="J674">
        <f>IF(I674="","",IF(I674&lt;=0,"BREACH",IF(I674&lt;=500,"WARNING","OK")))</f>
        <v/>
      </c>
    </row>
    <row r="675">
      <c r="B675" s="7" t="n"/>
      <c r="C675" s="7" t="n"/>
      <c r="D675" s="7">
        <f>IF(OR(B675="",C675=""),"",B675+C675)</f>
        <v/>
      </c>
      <c r="E675" s="7">
        <f>IF(D675="","",MAX($D$2:D675))</f>
        <v/>
      </c>
      <c r="F675" s="7">
        <f>IF(OR(E675="",D675=""),"",E675-D675)</f>
        <v/>
      </c>
      <c r="G675" s="8">
        <f>IF(OR(E675="",F675="",E675=0),"",F675/E675)</f>
        <v/>
      </c>
      <c r="H675" s="7" t="n"/>
      <c r="I675" s="7">
        <f>IF(OR(H675="",F675=""),"",H675-F675)</f>
        <v/>
      </c>
      <c r="J675">
        <f>IF(I675="","",IF(I675&lt;=0,"BREACH",IF(I675&lt;=500,"WARNING","OK")))</f>
        <v/>
      </c>
    </row>
    <row r="676">
      <c r="B676" s="7" t="n"/>
      <c r="C676" s="7" t="n"/>
      <c r="D676" s="7">
        <f>IF(OR(B676="",C676=""),"",B676+C676)</f>
        <v/>
      </c>
      <c r="E676" s="7">
        <f>IF(D676="","",MAX($D$2:D676))</f>
        <v/>
      </c>
      <c r="F676" s="7">
        <f>IF(OR(E676="",D676=""),"",E676-D676)</f>
        <v/>
      </c>
      <c r="G676" s="8">
        <f>IF(OR(E676="",F676="",E676=0),"",F676/E676)</f>
        <v/>
      </c>
      <c r="H676" s="7" t="n"/>
      <c r="I676" s="7">
        <f>IF(OR(H676="",F676=""),"",H676-F676)</f>
        <v/>
      </c>
      <c r="J676">
        <f>IF(I676="","",IF(I676&lt;=0,"BREACH",IF(I676&lt;=500,"WARNING","OK")))</f>
        <v/>
      </c>
    </row>
    <row r="677">
      <c r="B677" s="7" t="n"/>
      <c r="C677" s="7" t="n"/>
      <c r="D677" s="7">
        <f>IF(OR(B677="",C677=""),"",B677+C677)</f>
        <v/>
      </c>
      <c r="E677" s="7">
        <f>IF(D677="","",MAX($D$2:D677))</f>
        <v/>
      </c>
      <c r="F677" s="7">
        <f>IF(OR(E677="",D677=""),"",E677-D677)</f>
        <v/>
      </c>
      <c r="G677" s="8">
        <f>IF(OR(E677="",F677="",E677=0),"",F677/E677)</f>
        <v/>
      </c>
      <c r="H677" s="7" t="n"/>
      <c r="I677" s="7">
        <f>IF(OR(H677="",F677=""),"",H677-F677)</f>
        <v/>
      </c>
      <c r="J677">
        <f>IF(I677="","",IF(I677&lt;=0,"BREACH",IF(I677&lt;=500,"WARNING","OK")))</f>
        <v/>
      </c>
    </row>
    <row r="678">
      <c r="B678" s="7" t="n"/>
      <c r="C678" s="7" t="n"/>
      <c r="D678" s="7">
        <f>IF(OR(B678="",C678=""),"",B678+C678)</f>
        <v/>
      </c>
      <c r="E678" s="7">
        <f>IF(D678="","",MAX($D$2:D678))</f>
        <v/>
      </c>
      <c r="F678" s="7">
        <f>IF(OR(E678="",D678=""),"",E678-D678)</f>
        <v/>
      </c>
      <c r="G678" s="8">
        <f>IF(OR(E678="",F678="",E678=0),"",F678/E678)</f>
        <v/>
      </c>
      <c r="H678" s="7" t="n"/>
      <c r="I678" s="7">
        <f>IF(OR(H678="",F678=""),"",H678-F678)</f>
        <v/>
      </c>
      <c r="J678">
        <f>IF(I678="","",IF(I678&lt;=0,"BREACH",IF(I678&lt;=500,"WARNING","OK")))</f>
        <v/>
      </c>
    </row>
    <row r="679">
      <c r="B679" s="7" t="n"/>
      <c r="C679" s="7" t="n"/>
      <c r="D679" s="7">
        <f>IF(OR(B679="",C679=""),"",B679+C679)</f>
        <v/>
      </c>
      <c r="E679" s="7">
        <f>IF(D679="","",MAX($D$2:D679))</f>
        <v/>
      </c>
      <c r="F679" s="7">
        <f>IF(OR(E679="",D679=""),"",E679-D679)</f>
        <v/>
      </c>
      <c r="G679" s="8">
        <f>IF(OR(E679="",F679="",E679=0),"",F679/E679)</f>
        <v/>
      </c>
      <c r="H679" s="7" t="n"/>
      <c r="I679" s="7">
        <f>IF(OR(H679="",F679=""),"",H679-F679)</f>
        <v/>
      </c>
      <c r="J679">
        <f>IF(I679="","",IF(I679&lt;=0,"BREACH",IF(I679&lt;=500,"WARNING","OK")))</f>
        <v/>
      </c>
    </row>
    <row r="680">
      <c r="B680" s="7" t="n"/>
      <c r="C680" s="7" t="n"/>
      <c r="D680" s="7">
        <f>IF(OR(B680="",C680=""),"",B680+C680)</f>
        <v/>
      </c>
      <c r="E680" s="7">
        <f>IF(D680="","",MAX($D$2:D680))</f>
        <v/>
      </c>
      <c r="F680" s="7">
        <f>IF(OR(E680="",D680=""),"",E680-D680)</f>
        <v/>
      </c>
      <c r="G680" s="8">
        <f>IF(OR(E680="",F680="",E680=0),"",F680/E680)</f>
        <v/>
      </c>
      <c r="H680" s="7" t="n"/>
      <c r="I680" s="7">
        <f>IF(OR(H680="",F680=""),"",H680-F680)</f>
        <v/>
      </c>
      <c r="J680">
        <f>IF(I680="","",IF(I680&lt;=0,"BREACH",IF(I680&lt;=500,"WARNING","OK")))</f>
        <v/>
      </c>
    </row>
    <row r="681">
      <c r="B681" s="7" t="n"/>
      <c r="C681" s="7" t="n"/>
      <c r="D681" s="7">
        <f>IF(OR(B681="",C681=""),"",B681+C681)</f>
        <v/>
      </c>
      <c r="E681" s="7">
        <f>IF(D681="","",MAX($D$2:D681))</f>
        <v/>
      </c>
      <c r="F681" s="7">
        <f>IF(OR(E681="",D681=""),"",E681-D681)</f>
        <v/>
      </c>
      <c r="G681" s="8">
        <f>IF(OR(E681="",F681="",E681=0),"",F681/E681)</f>
        <v/>
      </c>
      <c r="H681" s="7" t="n"/>
      <c r="I681" s="7">
        <f>IF(OR(H681="",F681=""),"",H681-F681)</f>
        <v/>
      </c>
      <c r="J681">
        <f>IF(I681="","",IF(I681&lt;=0,"BREACH",IF(I681&lt;=500,"WARNING","OK")))</f>
        <v/>
      </c>
    </row>
    <row r="682">
      <c r="B682" s="7" t="n"/>
      <c r="C682" s="7" t="n"/>
      <c r="D682" s="7">
        <f>IF(OR(B682="",C682=""),"",B682+C682)</f>
        <v/>
      </c>
      <c r="E682" s="7">
        <f>IF(D682="","",MAX($D$2:D682))</f>
        <v/>
      </c>
      <c r="F682" s="7">
        <f>IF(OR(E682="",D682=""),"",E682-D682)</f>
        <v/>
      </c>
      <c r="G682" s="8">
        <f>IF(OR(E682="",F682="",E682=0),"",F682/E682)</f>
        <v/>
      </c>
      <c r="H682" s="7" t="n"/>
      <c r="I682" s="7">
        <f>IF(OR(H682="",F682=""),"",H682-F682)</f>
        <v/>
      </c>
      <c r="J682">
        <f>IF(I682="","",IF(I682&lt;=0,"BREACH",IF(I682&lt;=500,"WARNING","OK")))</f>
        <v/>
      </c>
    </row>
    <row r="683">
      <c r="B683" s="7" t="n"/>
      <c r="C683" s="7" t="n"/>
      <c r="D683" s="7">
        <f>IF(OR(B683="",C683=""),"",B683+C683)</f>
        <v/>
      </c>
      <c r="E683" s="7">
        <f>IF(D683="","",MAX($D$2:D683))</f>
        <v/>
      </c>
      <c r="F683" s="7">
        <f>IF(OR(E683="",D683=""),"",E683-D683)</f>
        <v/>
      </c>
      <c r="G683" s="8">
        <f>IF(OR(E683="",F683="",E683=0),"",F683/E683)</f>
        <v/>
      </c>
      <c r="H683" s="7" t="n"/>
      <c r="I683" s="7">
        <f>IF(OR(H683="",F683=""),"",H683-F683)</f>
        <v/>
      </c>
      <c r="J683">
        <f>IF(I683="","",IF(I683&lt;=0,"BREACH",IF(I683&lt;=500,"WARNING","OK")))</f>
        <v/>
      </c>
    </row>
    <row r="684">
      <c r="B684" s="7" t="n"/>
      <c r="C684" s="7" t="n"/>
      <c r="D684" s="7">
        <f>IF(OR(B684="",C684=""),"",B684+C684)</f>
        <v/>
      </c>
      <c r="E684" s="7">
        <f>IF(D684="","",MAX($D$2:D684))</f>
        <v/>
      </c>
      <c r="F684" s="7">
        <f>IF(OR(E684="",D684=""),"",E684-D684)</f>
        <v/>
      </c>
      <c r="G684" s="8">
        <f>IF(OR(E684="",F684="",E684=0),"",F684/E684)</f>
        <v/>
      </c>
      <c r="H684" s="7" t="n"/>
      <c r="I684" s="7">
        <f>IF(OR(H684="",F684=""),"",H684-F684)</f>
        <v/>
      </c>
      <c r="J684">
        <f>IF(I684="","",IF(I684&lt;=0,"BREACH",IF(I684&lt;=500,"WARNING","OK")))</f>
        <v/>
      </c>
    </row>
    <row r="685">
      <c r="B685" s="7" t="n"/>
      <c r="C685" s="7" t="n"/>
      <c r="D685" s="7">
        <f>IF(OR(B685="",C685=""),"",B685+C685)</f>
        <v/>
      </c>
      <c r="E685" s="7">
        <f>IF(D685="","",MAX($D$2:D685))</f>
        <v/>
      </c>
      <c r="F685" s="7">
        <f>IF(OR(E685="",D685=""),"",E685-D685)</f>
        <v/>
      </c>
      <c r="G685" s="8">
        <f>IF(OR(E685="",F685="",E685=0),"",F685/E685)</f>
        <v/>
      </c>
      <c r="H685" s="7" t="n"/>
      <c r="I685" s="7">
        <f>IF(OR(H685="",F685=""),"",H685-F685)</f>
        <v/>
      </c>
      <c r="J685">
        <f>IF(I685="","",IF(I685&lt;=0,"BREACH",IF(I685&lt;=500,"WARNING","OK")))</f>
        <v/>
      </c>
    </row>
    <row r="686">
      <c r="B686" s="7" t="n"/>
      <c r="C686" s="7" t="n"/>
      <c r="D686" s="7">
        <f>IF(OR(B686="",C686=""),"",B686+C686)</f>
        <v/>
      </c>
      <c r="E686" s="7">
        <f>IF(D686="","",MAX($D$2:D686))</f>
        <v/>
      </c>
      <c r="F686" s="7">
        <f>IF(OR(E686="",D686=""),"",E686-D686)</f>
        <v/>
      </c>
      <c r="G686" s="8">
        <f>IF(OR(E686="",F686="",E686=0),"",F686/E686)</f>
        <v/>
      </c>
      <c r="H686" s="7" t="n"/>
      <c r="I686" s="7">
        <f>IF(OR(H686="",F686=""),"",H686-F686)</f>
        <v/>
      </c>
      <c r="J686">
        <f>IF(I686="","",IF(I686&lt;=0,"BREACH",IF(I686&lt;=500,"WARNING","OK")))</f>
        <v/>
      </c>
    </row>
    <row r="687">
      <c r="B687" s="7" t="n"/>
      <c r="C687" s="7" t="n"/>
      <c r="D687" s="7">
        <f>IF(OR(B687="",C687=""),"",B687+C687)</f>
        <v/>
      </c>
      <c r="E687" s="7">
        <f>IF(D687="","",MAX($D$2:D687))</f>
        <v/>
      </c>
      <c r="F687" s="7">
        <f>IF(OR(E687="",D687=""),"",E687-D687)</f>
        <v/>
      </c>
      <c r="G687" s="8">
        <f>IF(OR(E687="",F687="",E687=0),"",F687/E687)</f>
        <v/>
      </c>
      <c r="H687" s="7" t="n"/>
      <c r="I687" s="7">
        <f>IF(OR(H687="",F687=""),"",H687-F687)</f>
        <v/>
      </c>
      <c r="J687">
        <f>IF(I687="","",IF(I687&lt;=0,"BREACH",IF(I687&lt;=500,"WARNING","OK")))</f>
        <v/>
      </c>
    </row>
    <row r="688">
      <c r="B688" s="7" t="n"/>
      <c r="C688" s="7" t="n"/>
      <c r="D688" s="7">
        <f>IF(OR(B688="",C688=""),"",B688+C688)</f>
        <v/>
      </c>
      <c r="E688" s="7">
        <f>IF(D688="","",MAX($D$2:D688))</f>
        <v/>
      </c>
      <c r="F688" s="7">
        <f>IF(OR(E688="",D688=""),"",E688-D688)</f>
        <v/>
      </c>
      <c r="G688" s="8">
        <f>IF(OR(E688="",F688="",E688=0),"",F688/E688)</f>
        <v/>
      </c>
      <c r="H688" s="7" t="n"/>
      <c r="I688" s="7">
        <f>IF(OR(H688="",F688=""),"",H688-F688)</f>
        <v/>
      </c>
      <c r="J688">
        <f>IF(I688="","",IF(I688&lt;=0,"BREACH",IF(I688&lt;=500,"WARNING","OK")))</f>
        <v/>
      </c>
    </row>
    <row r="689">
      <c r="B689" s="7" t="n"/>
      <c r="C689" s="7" t="n"/>
      <c r="D689" s="7">
        <f>IF(OR(B689="",C689=""),"",B689+C689)</f>
        <v/>
      </c>
      <c r="E689" s="7">
        <f>IF(D689="","",MAX($D$2:D689))</f>
        <v/>
      </c>
      <c r="F689" s="7">
        <f>IF(OR(E689="",D689=""),"",E689-D689)</f>
        <v/>
      </c>
      <c r="G689" s="8">
        <f>IF(OR(E689="",F689="",E689=0),"",F689/E689)</f>
        <v/>
      </c>
      <c r="H689" s="7" t="n"/>
      <c r="I689" s="7">
        <f>IF(OR(H689="",F689=""),"",H689-F689)</f>
        <v/>
      </c>
      <c r="J689">
        <f>IF(I689="","",IF(I689&lt;=0,"BREACH",IF(I689&lt;=500,"WARNING","OK")))</f>
        <v/>
      </c>
    </row>
    <row r="690">
      <c r="B690" s="7" t="n"/>
      <c r="C690" s="7" t="n"/>
      <c r="D690" s="7">
        <f>IF(OR(B690="",C690=""),"",B690+C690)</f>
        <v/>
      </c>
      <c r="E690" s="7">
        <f>IF(D690="","",MAX($D$2:D690))</f>
        <v/>
      </c>
      <c r="F690" s="7">
        <f>IF(OR(E690="",D690=""),"",E690-D690)</f>
        <v/>
      </c>
      <c r="G690" s="8">
        <f>IF(OR(E690="",F690="",E690=0),"",F690/E690)</f>
        <v/>
      </c>
      <c r="H690" s="7" t="n"/>
      <c r="I690" s="7">
        <f>IF(OR(H690="",F690=""),"",H690-F690)</f>
        <v/>
      </c>
      <c r="J690">
        <f>IF(I690="","",IF(I690&lt;=0,"BREACH",IF(I690&lt;=500,"WARNING","OK")))</f>
        <v/>
      </c>
    </row>
    <row r="691">
      <c r="B691" s="7" t="n"/>
      <c r="C691" s="7" t="n"/>
      <c r="D691" s="7">
        <f>IF(OR(B691="",C691=""),"",B691+C691)</f>
        <v/>
      </c>
      <c r="E691" s="7">
        <f>IF(D691="","",MAX($D$2:D691))</f>
        <v/>
      </c>
      <c r="F691" s="7">
        <f>IF(OR(E691="",D691=""),"",E691-D691)</f>
        <v/>
      </c>
      <c r="G691" s="8">
        <f>IF(OR(E691="",F691="",E691=0),"",F691/E691)</f>
        <v/>
      </c>
      <c r="H691" s="7" t="n"/>
      <c r="I691" s="7">
        <f>IF(OR(H691="",F691=""),"",H691-F691)</f>
        <v/>
      </c>
      <c r="J691">
        <f>IF(I691="","",IF(I691&lt;=0,"BREACH",IF(I691&lt;=500,"WARNING","OK")))</f>
        <v/>
      </c>
    </row>
    <row r="692">
      <c r="B692" s="7" t="n"/>
      <c r="C692" s="7" t="n"/>
      <c r="D692" s="7">
        <f>IF(OR(B692="",C692=""),"",B692+C692)</f>
        <v/>
      </c>
      <c r="E692" s="7">
        <f>IF(D692="","",MAX($D$2:D692))</f>
        <v/>
      </c>
      <c r="F692" s="7">
        <f>IF(OR(E692="",D692=""),"",E692-D692)</f>
        <v/>
      </c>
      <c r="G692" s="8">
        <f>IF(OR(E692="",F692="",E692=0),"",F692/E692)</f>
        <v/>
      </c>
      <c r="H692" s="7" t="n"/>
      <c r="I692" s="7">
        <f>IF(OR(H692="",F692=""),"",H692-F692)</f>
        <v/>
      </c>
      <c r="J692">
        <f>IF(I692="","",IF(I692&lt;=0,"BREACH",IF(I692&lt;=500,"WARNING","OK")))</f>
        <v/>
      </c>
    </row>
    <row r="693">
      <c r="B693" s="7" t="n"/>
      <c r="C693" s="7" t="n"/>
      <c r="D693" s="7">
        <f>IF(OR(B693="",C693=""),"",B693+C693)</f>
        <v/>
      </c>
      <c r="E693" s="7">
        <f>IF(D693="","",MAX($D$2:D693))</f>
        <v/>
      </c>
      <c r="F693" s="7">
        <f>IF(OR(E693="",D693=""),"",E693-D693)</f>
        <v/>
      </c>
      <c r="G693" s="8">
        <f>IF(OR(E693="",F693="",E693=0),"",F693/E693)</f>
        <v/>
      </c>
      <c r="H693" s="7" t="n"/>
      <c r="I693" s="7">
        <f>IF(OR(H693="",F693=""),"",H693-F693)</f>
        <v/>
      </c>
      <c r="J693">
        <f>IF(I693="","",IF(I693&lt;=0,"BREACH",IF(I693&lt;=500,"WARNING","OK")))</f>
        <v/>
      </c>
    </row>
    <row r="694">
      <c r="B694" s="7" t="n"/>
      <c r="C694" s="7" t="n"/>
      <c r="D694" s="7">
        <f>IF(OR(B694="",C694=""),"",B694+C694)</f>
        <v/>
      </c>
      <c r="E694" s="7">
        <f>IF(D694="","",MAX($D$2:D694))</f>
        <v/>
      </c>
      <c r="F694" s="7">
        <f>IF(OR(E694="",D694=""),"",E694-D694)</f>
        <v/>
      </c>
      <c r="G694" s="8">
        <f>IF(OR(E694="",F694="",E694=0),"",F694/E694)</f>
        <v/>
      </c>
      <c r="H694" s="7" t="n"/>
      <c r="I694" s="7">
        <f>IF(OR(H694="",F694=""),"",H694-F694)</f>
        <v/>
      </c>
      <c r="J694">
        <f>IF(I694="","",IF(I694&lt;=0,"BREACH",IF(I694&lt;=500,"WARNING","OK")))</f>
        <v/>
      </c>
    </row>
    <row r="695">
      <c r="B695" s="7" t="n"/>
      <c r="C695" s="7" t="n"/>
      <c r="D695" s="7">
        <f>IF(OR(B695="",C695=""),"",B695+C695)</f>
        <v/>
      </c>
      <c r="E695" s="7">
        <f>IF(D695="","",MAX($D$2:D695))</f>
        <v/>
      </c>
      <c r="F695" s="7">
        <f>IF(OR(E695="",D695=""),"",E695-D695)</f>
        <v/>
      </c>
      <c r="G695" s="8">
        <f>IF(OR(E695="",F695="",E695=0),"",F695/E695)</f>
        <v/>
      </c>
      <c r="H695" s="7" t="n"/>
      <c r="I695" s="7">
        <f>IF(OR(H695="",F695=""),"",H695-F695)</f>
        <v/>
      </c>
      <c r="J695">
        <f>IF(I695="","",IF(I695&lt;=0,"BREACH",IF(I695&lt;=500,"WARNING","OK")))</f>
        <v/>
      </c>
    </row>
    <row r="696">
      <c r="B696" s="7" t="n"/>
      <c r="C696" s="7" t="n"/>
      <c r="D696" s="7">
        <f>IF(OR(B696="",C696=""),"",B696+C696)</f>
        <v/>
      </c>
      <c r="E696" s="7">
        <f>IF(D696="","",MAX($D$2:D696))</f>
        <v/>
      </c>
      <c r="F696" s="7">
        <f>IF(OR(E696="",D696=""),"",E696-D696)</f>
        <v/>
      </c>
      <c r="G696" s="8">
        <f>IF(OR(E696="",F696="",E696=0),"",F696/E696)</f>
        <v/>
      </c>
      <c r="H696" s="7" t="n"/>
      <c r="I696" s="7">
        <f>IF(OR(H696="",F696=""),"",H696-F696)</f>
        <v/>
      </c>
      <c r="J696">
        <f>IF(I696="","",IF(I696&lt;=0,"BREACH",IF(I696&lt;=500,"WARNING","OK")))</f>
        <v/>
      </c>
    </row>
    <row r="697">
      <c r="B697" s="7" t="n"/>
      <c r="C697" s="7" t="n"/>
      <c r="D697" s="7">
        <f>IF(OR(B697="",C697=""),"",B697+C697)</f>
        <v/>
      </c>
      <c r="E697" s="7">
        <f>IF(D697="","",MAX($D$2:D697))</f>
        <v/>
      </c>
      <c r="F697" s="7">
        <f>IF(OR(E697="",D697=""),"",E697-D697)</f>
        <v/>
      </c>
      <c r="G697" s="8">
        <f>IF(OR(E697="",F697="",E697=0),"",F697/E697)</f>
        <v/>
      </c>
      <c r="H697" s="7" t="n"/>
      <c r="I697" s="7">
        <f>IF(OR(H697="",F697=""),"",H697-F697)</f>
        <v/>
      </c>
      <c r="J697">
        <f>IF(I697="","",IF(I697&lt;=0,"BREACH",IF(I697&lt;=500,"WARNING","OK")))</f>
        <v/>
      </c>
    </row>
    <row r="698">
      <c r="B698" s="7" t="n"/>
      <c r="C698" s="7" t="n"/>
      <c r="D698" s="7">
        <f>IF(OR(B698="",C698=""),"",B698+C698)</f>
        <v/>
      </c>
      <c r="E698" s="7">
        <f>IF(D698="","",MAX($D$2:D698))</f>
        <v/>
      </c>
      <c r="F698" s="7">
        <f>IF(OR(E698="",D698=""),"",E698-D698)</f>
        <v/>
      </c>
      <c r="G698" s="8">
        <f>IF(OR(E698="",F698="",E698=0),"",F698/E698)</f>
        <v/>
      </c>
      <c r="H698" s="7" t="n"/>
      <c r="I698" s="7">
        <f>IF(OR(H698="",F698=""),"",H698-F698)</f>
        <v/>
      </c>
      <c r="J698">
        <f>IF(I698="","",IF(I698&lt;=0,"BREACH",IF(I698&lt;=500,"WARNING","OK")))</f>
        <v/>
      </c>
    </row>
    <row r="699">
      <c r="B699" s="7" t="n"/>
      <c r="C699" s="7" t="n"/>
      <c r="D699" s="7">
        <f>IF(OR(B699="",C699=""),"",B699+C699)</f>
        <v/>
      </c>
      <c r="E699" s="7">
        <f>IF(D699="","",MAX($D$2:D699))</f>
        <v/>
      </c>
      <c r="F699" s="7">
        <f>IF(OR(E699="",D699=""),"",E699-D699)</f>
        <v/>
      </c>
      <c r="G699" s="8">
        <f>IF(OR(E699="",F699="",E699=0),"",F699/E699)</f>
        <v/>
      </c>
      <c r="H699" s="7" t="n"/>
      <c r="I699" s="7">
        <f>IF(OR(H699="",F699=""),"",H699-F699)</f>
        <v/>
      </c>
      <c r="J699">
        <f>IF(I699="","",IF(I699&lt;=0,"BREACH",IF(I699&lt;=500,"WARNING","OK")))</f>
        <v/>
      </c>
    </row>
    <row r="700">
      <c r="B700" s="7" t="n"/>
      <c r="C700" s="7" t="n"/>
      <c r="D700" s="7">
        <f>IF(OR(B700="",C700=""),"",B700+C700)</f>
        <v/>
      </c>
      <c r="E700" s="7">
        <f>IF(D700="","",MAX($D$2:D700))</f>
        <v/>
      </c>
      <c r="F700" s="7">
        <f>IF(OR(E700="",D700=""),"",E700-D700)</f>
        <v/>
      </c>
      <c r="G700" s="8">
        <f>IF(OR(E700="",F700="",E700=0),"",F700/E700)</f>
        <v/>
      </c>
      <c r="H700" s="7" t="n"/>
      <c r="I700" s="7">
        <f>IF(OR(H700="",F700=""),"",H700-F700)</f>
        <v/>
      </c>
      <c r="J700">
        <f>IF(I700="","",IF(I700&lt;=0,"BREACH",IF(I700&lt;=500,"WARNING","OK")))</f>
        <v/>
      </c>
    </row>
    <row r="701">
      <c r="B701" s="7" t="n"/>
      <c r="C701" s="7" t="n"/>
      <c r="D701" s="7">
        <f>IF(OR(B701="",C701=""),"",B701+C701)</f>
        <v/>
      </c>
      <c r="E701" s="7">
        <f>IF(D701="","",MAX($D$2:D701))</f>
        <v/>
      </c>
      <c r="F701" s="7">
        <f>IF(OR(E701="",D701=""),"",E701-D701)</f>
        <v/>
      </c>
      <c r="G701" s="8">
        <f>IF(OR(E701="",F701="",E701=0),"",F701/E701)</f>
        <v/>
      </c>
      <c r="H701" s="7" t="n"/>
      <c r="I701" s="7">
        <f>IF(OR(H701="",F701=""),"",H701-F701)</f>
        <v/>
      </c>
      <c r="J701">
        <f>IF(I701="","",IF(I701&lt;=0,"BREACH",IF(I701&lt;=500,"WARNING","OK")))</f>
        <v/>
      </c>
    </row>
    <row r="702">
      <c r="B702" s="7" t="n"/>
      <c r="C702" s="7" t="n"/>
      <c r="D702" s="7">
        <f>IF(OR(B702="",C702=""),"",B702+C702)</f>
        <v/>
      </c>
      <c r="E702" s="7">
        <f>IF(D702="","",MAX($D$2:D702))</f>
        <v/>
      </c>
      <c r="F702" s="7">
        <f>IF(OR(E702="",D702=""),"",E702-D702)</f>
        <v/>
      </c>
      <c r="G702" s="8">
        <f>IF(OR(E702="",F702="",E702=0),"",F702/E702)</f>
        <v/>
      </c>
      <c r="H702" s="7" t="n"/>
      <c r="I702" s="7">
        <f>IF(OR(H702="",F702=""),"",H702-F702)</f>
        <v/>
      </c>
      <c r="J702">
        <f>IF(I702="","",IF(I702&lt;=0,"BREACH",IF(I702&lt;=500,"WARNING","OK")))</f>
        <v/>
      </c>
    </row>
    <row r="703">
      <c r="B703" s="7" t="n"/>
      <c r="C703" s="7" t="n"/>
      <c r="D703" s="7">
        <f>IF(OR(B703="",C703=""),"",B703+C703)</f>
        <v/>
      </c>
      <c r="E703" s="7">
        <f>IF(D703="","",MAX($D$2:D703))</f>
        <v/>
      </c>
      <c r="F703" s="7">
        <f>IF(OR(E703="",D703=""),"",E703-D703)</f>
        <v/>
      </c>
      <c r="G703" s="8">
        <f>IF(OR(E703="",F703="",E703=0),"",F703/E703)</f>
        <v/>
      </c>
      <c r="H703" s="7" t="n"/>
      <c r="I703" s="7">
        <f>IF(OR(H703="",F703=""),"",H703-F703)</f>
        <v/>
      </c>
      <c r="J703">
        <f>IF(I703="","",IF(I703&lt;=0,"BREACH",IF(I703&lt;=500,"WARNING","OK")))</f>
        <v/>
      </c>
    </row>
    <row r="704">
      <c r="B704" s="7" t="n"/>
      <c r="C704" s="7" t="n"/>
      <c r="D704" s="7">
        <f>IF(OR(B704="",C704=""),"",B704+C704)</f>
        <v/>
      </c>
      <c r="E704" s="7">
        <f>IF(D704="","",MAX($D$2:D704))</f>
        <v/>
      </c>
      <c r="F704" s="7">
        <f>IF(OR(E704="",D704=""),"",E704-D704)</f>
        <v/>
      </c>
      <c r="G704" s="8">
        <f>IF(OR(E704="",F704="",E704=0),"",F704/E704)</f>
        <v/>
      </c>
      <c r="H704" s="7" t="n"/>
      <c r="I704" s="7">
        <f>IF(OR(H704="",F704=""),"",H704-F704)</f>
        <v/>
      </c>
      <c r="J704">
        <f>IF(I704="","",IF(I704&lt;=0,"BREACH",IF(I704&lt;=500,"WARNING","OK")))</f>
        <v/>
      </c>
    </row>
    <row r="705">
      <c r="B705" s="7" t="n"/>
      <c r="C705" s="7" t="n"/>
      <c r="D705" s="7">
        <f>IF(OR(B705="",C705=""),"",B705+C705)</f>
        <v/>
      </c>
      <c r="E705" s="7">
        <f>IF(D705="","",MAX($D$2:D705))</f>
        <v/>
      </c>
      <c r="F705" s="7">
        <f>IF(OR(E705="",D705=""),"",E705-D705)</f>
        <v/>
      </c>
      <c r="G705" s="8">
        <f>IF(OR(E705="",F705="",E705=0),"",F705/E705)</f>
        <v/>
      </c>
      <c r="H705" s="7" t="n"/>
      <c r="I705" s="7">
        <f>IF(OR(H705="",F705=""),"",H705-F705)</f>
        <v/>
      </c>
      <c r="J705">
        <f>IF(I705="","",IF(I705&lt;=0,"BREACH",IF(I705&lt;=500,"WARNING","OK")))</f>
        <v/>
      </c>
    </row>
    <row r="706">
      <c r="B706" s="7" t="n"/>
      <c r="C706" s="7" t="n"/>
      <c r="D706" s="7">
        <f>IF(OR(B706="",C706=""),"",B706+C706)</f>
        <v/>
      </c>
      <c r="E706" s="7">
        <f>IF(D706="","",MAX($D$2:D706))</f>
        <v/>
      </c>
      <c r="F706" s="7">
        <f>IF(OR(E706="",D706=""),"",E706-D706)</f>
        <v/>
      </c>
      <c r="G706" s="8">
        <f>IF(OR(E706="",F706="",E706=0),"",F706/E706)</f>
        <v/>
      </c>
      <c r="H706" s="7" t="n"/>
      <c r="I706" s="7">
        <f>IF(OR(H706="",F706=""),"",H706-F706)</f>
        <v/>
      </c>
      <c r="J706">
        <f>IF(I706="","",IF(I706&lt;=0,"BREACH",IF(I706&lt;=500,"WARNING","OK")))</f>
        <v/>
      </c>
    </row>
    <row r="707">
      <c r="B707" s="7" t="n"/>
      <c r="C707" s="7" t="n"/>
      <c r="D707" s="7">
        <f>IF(OR(B707="",C707=""),"",B707+C707)</f>
        <v/>
      </c>
      <c r="E707" s="7">
        <f>IF(D707="","",MAX($D$2:D707))</f>
        <v/>
      </c>
      <c r="F707" s="7">
        <f>IF(OR(E707="",D707=""),"",E707-D707)</f>
        <v/>
      </c>
      <c r="G707" s="8">
        <f>IF(OR(E707="",F707="",E707=0),"",F707/E707)</f>
        <v/>
      </c>
      <c r="H707" s="7" t="n"/>
      <c r="I707" s="7">
        <f>IF(OR(H707="",F707=""),"",H707-F707)</f>
        <v/>
      </c>
      <c r="J707">
        <f>IF(I707="","",IF(I707&lt;=0,"BREACH",IF(I707&lt;=500,"WARNING","OK")))</f>
        <v/>
      </c>
    </row>
    <row r="708">
      <c r="B708" s="7" t="n"/>
      <c r="C708" s="7" t="n"/>
      <c r="D708" s="7">
        <f>IF(OR(B708="",C708=""),"",B708+C708)</f>
        <v/>
      </c>
      <c r="E708" s="7">
        <f>IF(D708="","",MAX($D$2:D708))</f>
        <v/>
      </c>
      <c r="F708" s="7">
        <f>IF(OR(E708="",D708=""),"",E708-D708)</f>
        <v/>
      </c>
      <c r="G708" s="8">
        <f>IF(OR(E708="",F708="",E708=0),"",F708/E708)</f>
        <v/>
      </c>
      <c r="H708" s="7" t="n"/>
      <c r="I708" s="7">
        <f>IF(OR(H708="",F708=""),"",H708-F708)</f>
        <v/>
      </c>
      <c r="J708">
        <f>IF(I708="","",IF(I708&lt;=0,"BREACH",IF(I708&lt;=500,"WARNING","OK")))</f>
        <v/>
      </c>
    </row>
    <row r="709">
      <c r="B709" s="7" t="n"/>
      <c r="C709" s="7" t="n"/>
      <c r="D709" s="7">
        <f>IF(OR(B709="",C709=""),"",B709+C709)</f>
        <v/>
      </c>
      <c r="E709" s="7">
        <f>IF(D709="","",MAX($D$2:D709))</f>
        <v/>
      </c>
      <c r="F709" s="7">
        <f>IF(OR(E709="",D709=""),"",E709-D709)</f>
        <v/>
      </c>
      <c r="G709" s="8">
        <f>IF(OR(E709="",F709="",E709=0),"",F709/E709)</f>
        <v/>
      </c>
      <c r="H709" s="7" t="n"/>
      <c r="I709" s="7">
        <f>IF(OR(H709="",F709=""),"",H709-F709)</f>
        <v/>
      </c>
      <c r="J709">
        <f>IF(I709="","",IF(I709&lt;=0,"BREACH",IF(I709&lt;=500,"WARNING","OK")))</f>
        <v/>
      </c>
    </row>
    <row r="710">
      <c r="B710" s="7" t="n"/>
      <c r="C710" s="7" t="n"/>
      <c r="D710" s="7">
        <f>IF(OR(B710="",C710=""),"",B710+C710)</f>
        <v/>
      </c>
      <c r="E710" s="7">
        <f>IF(D710="","",MAX($D$2:D710))</f>
        <v/>
      </c>
      <c r="F710" s="7">
        <f>IF(OR(E710="",D710=""),"",E710-D710)</f>
        <v/>
      </c>
      <c r="G710" s="8">
        <f>IF(OR(E710="",F710="",E710=0),"",F710/E710)</f>
        <v/>
      </c>
      <c r="H710" s="7" t="n"/>
      <c r="I710" s="7">
        <f>IF(OR(H710="",F710=""),"",H710-F710)</f>
        <v/>
      </c>
      <c r="J710">
        <f>IF(I710="","",IF(I710&lt;=0,"BREACH",IF(I710&lt;=500,"WARNING","OK")))</f>
        <v/>
      </c>
    </row>
    <row r="711">
      <c r="B711" s="7" t="n"/>
      <c r="C711" s="7" t="n"/>
      <c r="D711" s="7">
        <f>IF(OR(B711="",C711=""),"",B711+C711)</f>
        <v/>
      </c>
      <c r="E711" s="7">
        <f>IF(D711="","",MAX($D$2:D711))</f>
        <v/>
      </c>
      <c r="F711" s="7">
        <f>IF(OR(E711="",D711=""),"",E711-D711)</f>
        <v/>
      </c>
      <c r="G711" s="8">
        <f>IF(OR(E711="",F711="",E711=0),"",F711/E711)</f>
        <v/>
      </c>
      <c r="H711" s="7" t="n"/>
      <c r="I711" s="7">
        <f>IF(OR(H711="",F711=""),"",H711-F711)</f>
        <v/>
      </c>
      <c r="J711">
        <f>IF(I711="","",IF(I711&lt;=0,"BREACH",IF(I711&lt;=500,"WARNING","OK")))</f>
        <v/>
      </c>
    </row>
    <row r="712">
      <c r="B712" s="7" t="n"/>
      <c r="C712" s="7" t="n"/>
      <c r="D712" s="7">
        <f>IF(OR(B712="",C712=""),"",B712+C712)</f>
        <v/>
      </c>
      <c r="E712" s="7">
        <f>IF(D712="","",MAX($D$2:D712))</f>
        <v/>
      </c>
      <c r="F712" s="7">
        <f>IF(OR(E712="",D712=""),"",E712-D712)</f>
        <v/>
      </c>
      <c r="G712" s="8">
        <f>IF(OR(E712="",F712="",E712=0),"",F712/E712)</f>
        <v/>
      </c>
      <c r="H712" s="7" t="n"/>
      <c r="I712" s="7">
        <f>IF(OR(H712="",F712=""),"",H712-F712)</f>
        <v/>
      </c>
      <c r="J712">
        <f>IF(I712="","",IF(I712&lt;=0,"BREACH",IF(I712&lt;=500,"WARNING","OK")))</f>
        <v/>
      </c>
    </row>
    <row r="713">
      <c r="B713" s="7" t="n"/>
      <c r="C713" s="7" t="n"/>
      <c r="D713" s="7">
        <f>IF(OR(B713="",C713=""),"",B713+C713)</f>
        <v/>
      </c>
      <c r="E713" s="7">
        <f>IF(D713="","",MAX($D$2:D713))</f>
        <v/>
      </c>
      <c r="F713" s="7">
        <f>IF(OR(E713="",D713=""),"",E713-D713)</f>
        <v/>
      </c>
      <c r="G713" s="8">
        <f>IF(OR(E713="",F713="",E713=0),"",F713/E713)</f>
        <v/>
      </c>
      <c r="H713" s="7" t="n"/>
      <c r="I713" s="7">
        <f>IF(OR(H713="",F713=""),"",H713-F713)</f>
        <v/>
      </c>
      <c r="J713">
        <f>IF(I713="","",IF(I713&lt;=0,"BREACH",IF(I713&lt;=500,"WARNING","OK")))</f>
        <v/>
      </c>
    </row>
    <row r="714">
      <c r="B714" s="7" t="n"/>
      <c r="C714" s="7" t="n"/>
      <c r="D714" s="7">
        <f>IF(OR(B714="",C714=""),"",B714+C714)</f>
        <v/>
      </c>
      <c r="E714" s="7">
        <f>IF(D714="","",MAX($D$2:D714))</f>
        <v/>
      </c>
      <c r="F714" s="7">
        <f>IF(OR(E714="",D714=""),"",E714-D714)</f>
        <v/>
      </c>
      <c r="G714" s="8">
        <f>IF(OR(E714="",F714="",E714=0),"",F714/E714)</f>
        <v/>
      </c>
      <c r="H714" s="7" t="n"/>
      <c r="I714" s="7">
        <f>IF(OR(H714="",F714=""),"",H714-F714)</f>
        <v/>
      </c>
      <c r="J714">
        <f>IF(I714="","",IF(I714&lt;=0,"BREACH",IF(I714&lt;=500,"WARNING","OK")))</f>
        <v/>
      </c>
    </row>
    <row r="715">
      <c r="B715" s="7" t="n"/>
      <c r="C715" s="7" t="n"/>
      <c r="D715" s="7">
        <f>IF(OR(B715="",C715=""),"",B715+C715)</f>
        <v/>
      </c>
      <c r="E715" s="7">
        <f>IF(D715="","",MAX($D$2:D715))</f>
        <v/>
      </c>
      <c r="F715" s="7">
        <f>IF(OR(E715="",D715=""),"",E715-D715)</f>
        <v/>
      </c>
      <c r="G715" s="8">
        <f>IF(OR(E715="",F715="",E715=0),"",F715/E715)</f>
        <v/>
      </c>
      <c r="H715" s="7" t="n"/>
      <c r="I715" s="7">
        <f>IF(OR(H715="",F715=""),"",H715-F715)</f>
        <v/>
      </c>
      <c r="J715">
        <f>IF(I715="","",IF(I715&lt;=0,"BREACH",IF(I715&lt;=500,"WARNING","OK")))</f>
        <v/>
      </c>
    </row>
    <row r="716">
      <c r="B716" s="7" t="n"/>
      <c r="C716" s="7" t="n"/>
      <c r="D716" s="7">
        <f>IF(OR(B716="",C716=""),"",B716+C716)</f>
        <v/>
      </c>
      <c r="E716" s="7">
        <f>IF(D716="","",MAX($D$2:D716))</f>
        <v/>
      </c>
      <c r="F716" s="7">
        <f>IF(OR(E716="",D716=""),"",E716-D716)</f>
        <v/>
      </c>
      <c r="G716" s="8">
        <f>IF(OR(E716="",F716="",E716=0),"",F716/E716)</f>
        <v/>
      </c>
      <c r="H716" s="7" t="n"/>
      <c r="I716" s="7">
        <f>IF(OR(H716="",F716=""),"",H716-F716)</f>
        <v/>
      </c>
      <c r="J716">
        <f>IF(I716="","",IF(I716&lt;=0,"BREACH",IF(I716&lt;=500,"WARNING","OK")))</f>
        <v/>
      </c>
    </row>
    <row r="717">
      <c r="B717" s="7" t="n"/>
      <c r="C717" s="7" t="n"/>
      <c r="D717" s="7">
        <f>IF(OR(B717="",C717=""),"",B717+C717)</f>
        <v/>
      </c>
      <c r="E717" s="7">
        <f>IF(D717="","",MAX($D$2:D717))</f>
        <v/>
      </c>
      <c r="F717" s="7">
        <f>IF(OR(E717="",D717=""),"",E717-D717)</f>
        <v/>
      </c>
      <c r="G717" s="8">
        <f>IF(OR(E717="",F717="",E717=0),"",F717/E717)</f>
        <v/>
      </c>
      <c r="H717" s="7" t="n"/>
      <c r="I717" s="7">
        <f>IF(OR(H717="",F717=""),"",H717-F717)</f>
        <v/>
      </c>
      <c r="J717">
        <f>IF(I717="","",IF(I717&lt;=0,"BREACH",IF(I717&lt;=500,"WARNING","OK")))</f>
        <v/>
      </c>
    </row>
    <row r="718">
      <c r="B718" s="7" t="n"/>
      <c r="C718" s="7" t="n"/>
      <c r="D718" s="7">
        <f>IF(OR(B718="",C718=""),"",B718+C718)</f>
        <v/>
      </c>
      <c r="E718" s="7">
        <f>IF(D718="","",MAX($D$2:D718))</f>
        <v/>
      </c>
      <c r="F718" s="7">
        <f>IF(OR(E718="",D718=""),"",E718-D718)</f>
        <v/>
      </c>
      <c r="G718" s="8">
        <f>IF(OR(E718="",F718="",E718=0),"",F718/E718)</f>
        <v/>
      </c>
      <c r="H718" s="7" t="n"/>
      <c r="I718" s="7">
        <f>IF(OR(H718="",F718=""),"",H718-F718)</f>
        <v/>
      </c>
      <c r="J718">
        <f>IF(I718="","",IF(I718&lt;=0,"BREACH",IF(I718&lt;=500,"WARNING","OK")))</f>
        <v/>
      </c>
    </row>
    <row r="719">
      <c r="B719" s="7" t="n"/>
      <c r="C719" s="7" t="n"/>
      <c r="D719" s="7">
        <f>IF(OR(B719="",C719=""),"",B719+C719)</f>
        <v/>
      </c>
      <c r="E719" s="7">
        <f>IF(D719="","",MAX($D$2:D719))</f>
        <v/>
      </c>
      <c r="F719" s="7">
        <f>IF(OR(E719="",D719=""),"",E719-D719)</f>
        <v/>
      </c>
      <c r="G719" s="8">
        <f>IF(OR(E719="",F719="",E719=0),"",F719/E719)</f>
        <v/>
      </c>
      <c r="H719" s="7" t="n"/>
      <c r="I719" s="7">
        <f>IF(OR(H719="",F719=""),"",H719-F719)</f>
        <v/>
      </c>
      <c r="J719">
        <f>IF(I719="","",IF(I719&lt;=0,"BREACH",IF(I719&lt;=500,"WARNING","OK")))</f>
        <v/>
      </c>
    </row>
    <row r="720">
      <c r="B720" s="7" t="n"/>
      <c r="C720" s="7" t="n"/>
      <c r="D720" s="7">
        <f>IF(OR(B720="",C720=""),"",B720+C720)</f>
        <v/>
      </c>
      <c r="E720" s="7">
        <f>IF(D720="","",MAX($D$2:D720))</f>
        <v/>
      </c>
      <c r="F720" s="7">
        <f>IF(OR(E720="",D720=""),"",E720-D720)</f>
        <v/>
      </c>
      <c r="G720" s="8">
        <f>IF(OR(E720="",F720="",E720=0),"",F720/E720)</f>
        <v/>
      </c>
      <c r="H720" s="7" t="n"/>
      <c r="I720" s="7">
        <f>IF(OR(H720="",F720=""),"",H720-F720)</f>
        <v/>
      </c>
      <c r="J720">
        <f>IF(I720="","",IF(I720&lt;=0,"BREACH",IF(I720&lt;=500,"WARNING","OK")))</f>
        <v/>
      </c>
    </row>
    <row r="721">
      <c r="B721" s="7" t="n"/>
      <c r="C721" s="7" t="n"/>
      <c r="D721" s="7">
        <f>IF(OR(B721="",C721=""),"",B721+C721)</f>
        <v/>
      </c>
      <c r="E721" s="7">
        <f>IF(D721="","",MAX($D$2:D721))</f>
        <v/>
      </c>
      <c r="F721" s="7">
        <f>IF(OR(E721="",D721=""),"",E721-D721)</f>
        <v/>
      </c>
      <c r="G721" s="8">
        <f>IF(OR(E721="",F721="",E721=0),"",F721/E721)</f>
        <v/>
      </c>
      <c r="H721" s="7" t="n"/>
      <c r="I721" s="7">
        <f>IF(OR(H721="",F721=""),"",H721-F721)</f>
        <v/>
      </c>
      <c r="J721">
        <f>IF(I721="","",IF(I721&lt;=0,"BREACH",IF(I721&lt;=500,"WARNING","OK")))</f>
        <v/>
      </c>
    </row>
    <row r="722">
      <c r="B722" s="7" t="n"/>
      <c r="C722" s="7" t="n"/>
      <c r="D722" s="7">
        <f>IF(OR(B722="",C722=""),"",B722+C722)</f>
        <v/>
      </c>
      <c r="E722" s="7">
        <f>IF(D722="","",MAX($D$2:D722))</f>
        <v/>
      </c>
      <c r="F722" s="7">
        <f>IF(OR(E722="",D722=""),"",E722-D722)</f>
        <v/>
      </c>
      <c r="G722" s="8">
        <f>IF(OR(E722="",F722="",E722=0),"",F722/E722)</f>
        <v/>
      </c>
      <c r="H722" s="7" t="n"/>
      <c r="I722" s="7">
        <f>IF(OR(H722="",F722=""),"",H722-F722)</f>
        <v/>
      </c>
      <c r="J722">
        <f>IF(I722="","",IF(I722&lt;=0,"BREACH",IF(I722&lt;=500,"WARNING","OK")))</f>
        <v/>
      </c>
    </row>
    <row r="723">
      <c r="B723" s="7" t="n"/>
      <c r="C723" s="7" t="n"/>
      <c r="D723" s="7">
        <f>IF(OR(B723="",C723=""),"",B723+C723)</f>
        <v/>
      </c>
      <c r="E723" s="7">
        <f>IF(D723="","",MAX($D$2:D723))</f>
        <v/>
      </c>
      <c r="F723" s="7">
        <f>IF(OR(E723="",D723=""),"",E723-D723)</f>
        <v/>
      </c>
      <c r="G723" s="8">
        <f>IF(OR(E723="",F723="",E723=0),"",F723/E723)</f>
        <v/>
      </c>
      <c r="H723" s="7" t="n"/>
      <c r="I723" s="7">
        <f>IF(OR(H723="",F723=""),"",H723-F723)</f>
        <v/>
      </c>
      <c r="J723">
        <f>IF(I723="","",IF(I723&lt;=0,"BREACH",IF(I723&lt;=500,"WARNING","OK")))</f>
        <v/>
      </c>
    </row>
    <row r="724">
      <c r="B724" s="7" t="n"/>
      <c r="C724" s="7" t="n"/>
      <c r="D724" s="7">
        <f>IF(OR(B724="",C724=""),"",B724+C724)</f>
        <v/>
      </c>
      <c r="E724" s="7">
        <f>IF(D724="","",MAX($D$2:D724))</f>
        <v/>
      </c>
      <c r="F724" s="7">
        <f>IF(OR(E724="",D724=""),"",E724-D724)</f>
        <v/>
      </c>
      <c r="G724" s="8">
        <f>IF(OR(E724="",F724="",E724=0),"",F724/E724)</f>
        <v/>
      </c>
      <c r="H724" s="7" t="n"/>
      <c r="I724" s="7">
        <f>IF(OR(H724="",F724=""),"",H724-F724)</f>
        <v/>
      </c>
      <c r="J724">
        <f>IF(I724="","",IF(I724&lt;=0,"BREACH",IF(I724&lt;=500,"WARNING","OK")))</f>
        <v/>
      </c>
    </row>
    <row r="725">
      <c r="B725" s="7" t="n"/>
      <c r="C725" s="7" t="n"/>
      <c r="D725" s="7">
        <f>IF(OR(B725="",C725=""),"",B725+C725)</f>
        <v/>
      </c>
      <c r="E725" s="7">
        <f>IF(D725="","",MAX($D$2:D725))</f>
        <v/>
      </c>
      <c r="F725" s="7">
        <f>IF(OR(E725="",D725=""),"",E725-D725)</f>
        <v/>
      </c>
      <c r="G725" s="8">
        <f>IF(OR(E725="",F725="",E725=0),"",F725/E725)</f>
        <v/>
      </c>
      <c r="H725" s="7" t="n"/>
      <c r="I725" s="7">
        <f>IF(OR(H725="",F725=""),"",H725-F725)</f>
        <v/>
      </c>
      <c r="J725">
        <f>IF(I725="","",IF(I725&lt;=0,"BREACH",IF(I725&lt;=500,"WARNING","OK")))</f>
        <v/>
      </c>
    </row>
    <row r="726">
      <c r="B726" s="7" t="n"/>
      <c r="C726" s="7" t="n"/>
      <c r="D726" s="7">
        <f>IF(OR(B726="",C726=""),"",B726+C726)</f>
        <v/>
      </c>
      <c r="E726" s="7">
        <f>IF(D726="","",MAX($D$2:D726))</f>
        <v/>
      </c>
      <c r="F726" s="7">
        <f>IF(OR(E726="",D726=""),"",E726-D726)</f>
        <v/>
      </c>
      <c r="G726" s="8">
        <f>IF(OR(E726="",F726="",E726=0),"",F726/E726)</f>
        <v/>
      </c>
      <c r="H726" s="7" t="n"/>
      <c r="I726" s="7">
        <f>IF(OR(H726="",F726=""),"",H726-F726)</f>
        <v/>
      </c>
      <c r="J726">
        <f>IF(I726="","",IF(I726&lt;=0,"BREACH",IF(I726&lt;=500,"WARNING","OK")))</f>
        <v/>
      </c>
    </row>
    <row r="727">
      <c r="B727" s="7" t="n"/>
      <c r="C727" s="7" t="n"/>
      <c r="D727" s="7">
        <f>IF(OR(B727="",C727=""),"",B727+C727)</f>
        <v/>
      </c>
      <c r="E727" s="7">
        <f>IF(D727="","",MAX($D$2:D727))</f>
        <v/>
      </c>
      <c r="F727" s="7">
        <f>IF(OR(E727="",D727=""),"",E727-D727)</f>
        <v/>
      </c>
      <c r="G727" s="8">
        <f>IF(OR(E727="",F727="",E727=0),"",F727/E727)</f>
        <v/>
      </c>
      <c r="H727" s="7" t="n"/>
      <c r="I727" s="7">
        <f>IF(OR(H727="",F727=""),"",H727-F727)</f>
        <v/>
      </c>
      <c r="J727">
        <f>IF(I727="","",IF(I727&lt;=0,"BREACH",IF(I727&lt;=500,"WARNING","OK")))</f>
        <v/>
      </c>
    </row>
    <row r="728">
      <c r="B728" s="7" t="n"/>
      <c r="C728" s="7" t="n"/>
      <c r="D728" s="7">
        <f>IF(OR(B728="",C728=""),"",B728+C728)</f>
        <v/>
      </c>
      <c r="E728" s="7">
        <f>IF(D728="","",MAX($D$2:D728))</f>
        <v/>
      </c>
      <c r="F728" s="7">
        <f>IF(OR(E728="",D728=""),"",E728-D728)</f>
        <v/>
      </c>
      <c r="G728" s="8">
        <f>IF(OR(E728="",F728="",E728=0),"",F728/E728)</f>
        <v/>
      </c>
      <c r="H728" s="7" t="n"/>
      <c r="I728" s="7">
        <f>IF(OR(H728="",F728=""),"",H728-F728)</f>
        <v/>
      </c>
      <c r="J728">
        <f>IF(I728="","",IF(I728&lt;=0,"BREACH",IF(I728&lt;=500,"WARNING","OK")))</f>
        <v/>
      </c>
    </row>
    <row r="729">
      <c r="B729" s="7" t="n"/>
      <c r="C729" s="7" t="n"/>
      <c r="D729" s="7">
        <f>IF(OR(B729="",C729=""),"",B729+C729)</f>
        <v/>
      </c>
      <c r="E729" s="7">
        <f>IF(D729="","",MAX($D$2:D729))</f>
        <v/>
      </c>
      <c r="F729" s="7">
        <f>IF(OR(E729="",D729=""),"",E729-D729)</f>
        <v/>
      </c>
      <c r="G729" s="8">
        <f>IF(OR(E729="",F729="",E729=0),"",F729/E729)</f>
        <v/>
      </c>
      <c r="H729" s="7" t="n"/>
      <c r="I729" s="7">
        <f>IF(OR(H729="",F729=""),"",H729-F729)</f>
        <v/>
      </c>
      <c r="J729">
        <f>IF(I729="","",IF(I729&lt;=0,"BREACH",IF(I729&lt;=500,"WARNING","OK")))</f>
        <v/>
      </c>
    </row>
    <row r="730">
      <c r="B730" s="7" t="n"/>
      <c r="C730" s="7" t="n"/>
      <c r="D730" s="7">
        <f>IF(OR(B730="",C730=""),"",B730+C730)</f>
        <v/>
      </c>
      <c r="E730" s="7">
        <f>IF(D730="","",MAX($D$2:D730))</f>
        <v/>
      </c>
      <c r="F730" s="7">
        <f>IF(OR(E730="",D730=""),"",E730-D730)</f>
        <v/>
      </c>
      <c r="G730" s="8">
        <f>IF(OR(E730="",F730="",E730=0),"",F730/E730)</f>
        <v/>
      </c>
      <c r="H730" s="7" t="n"/>
      <c r="I730" s="7">
        <f>IF(OR(H730="",F730=""),"",H730-F730)</f>
        <v/>
      </c>
      <c r="J730">
        <f>IF(I730="","",IF(I730&lt;=0,"BREACH",IF(I730&lt;=500,"WARNING","OK")))</f>
        <v/>
      </c>
    </row>
    <row r="731">
      <c r="B731" s="7" t="n"/>
      <c r="C731" s="7" t="n"/>
      <c r="D731" s="7">
        <f>IF(OR(B731="",C731=""),"",B731+C731)</f>
        <v/>
      </c>
      <c r="E731" s="7">
        <f>IF(D731="","",MAX($D$2:D731))</f>
        <v/>
      </c>
      <c r="F731" s="7">
        <f>IF(OR(E731="",D731=""),"",E731-D731)</f>
        <v/>
      </c>
      <c r="G731" s="8">
        <f>IF(OR(E731="",F731="",E731=0),"",F731/E731)</f>
        <v/>
      </c>
      <c r="H731" s="7" t="n"/>
      <c r="I731" s="7">
        <f>IF(OR(H731="",F731=""),"",H731-F731)</f>
        <v/>
      </c>
      <c r="J731">
        <f>IF(I731="","",IF(I731&lt;=0,"BREACH",IF(I731&lt;=500,"WARNING","OK")))</f>
        <v/>
      </c>
    </row>
    <row r="732">
      <c r="B732" s="7" t="n"/>
      <c r="C732" s="7" t="n"/>
      <c r="D732" s="7">
        <f>IF(OR(B732="",C732=""),"",B732+C732)</f>
        <v/>
      </c>
      <c r="E732" s="7">
        <f>IF(D732="","",MAX($D$2:D732))</f>
        <v/>
      </c>
      <c r="F732" s="7">
        <f>IF(OR(E732="",D732=""),"",E732-D732)</f>
        <v/>
      </c>
      <c r="G732" s="8">
        <f>IF(OR(E732="",F732="",E732=0),"",F732/E732)</f>
        <v/>
      </c>
      <c r="H732" s="7" t="n"/>
      <c r="I732" s="7">
        <f>IF(OR(H732="",F732=""),"",H732-F732)</f>
        <v/>
      </c>
      <c r="J732">
        <f>IF(I732="","",IF(I732&lt;=0,"BREACH",IF(I732&lt;=500,"WARNING","OK")))</f>
        <v/>
      </c>
    </row>
    <row r="733">
      <c r="B733" s="7" t="n"/>
      <c r="C733" s="7" t="n"/>
      <c r="D733" s="7">
        <f>IF(OR(B733="",C733=""),"",B733+C733)</f>
        <v/>
      </c>
      <c r="E733" s="7">
        <f>IF(D733="","",MAX($D$2:D733))</f>
        <v/>
      </c>
      <c r="F733" s="7">
        <f>IF(OR(E733="",D733=""),"",E733-D733)</f>
        <v/>
      </c>
      <c r="G733" s="8">
        <f>IF(OR(E733="",F733="",E733=0),"",F733/E733)</f>
        <v/>
      </c>
      <c r="H733" s="7" t="n"/>
      <c r="I733" s="7">
        <f>IF(OR(H733="",F733=""),"",H733-F733)</f>
        <v/>
      </c>
      <c r="J733">
        <f>IF(I733="","",IF(I733&lt;=0,"BREACH",IF(I733&lt;=500,"WARNING","OK")))</f>
        <v/>
      </c>
    </row>
    <row r="734">
      <c r="B734" s="7" t="n"/>
      <c r="C734" s="7" t="n"/>
      <c r="D734" s="7">
        <f>IF(OR(B734="",C734=""),"",B734+C734)</f>
        <v/>
      </c>
      <c r="E734" s="7">
        <f>IF(D734="","",MAX($D$2:D734))</f>
        <v/>
      </c>
      <c r="F734" s="7">
        <f>IF(OR(E734="",D734=""),"",E734-D734)</f>
        <v/>
      </c>
      <c r="G734" s="8">
        <f>IF(OR(E734="",F734="",E734=0),"",F734/E734)</f>
        <v/>
      </c>
      <c r="H734" s="7" t="n"/>
      <c r="I734" s="7">
        <f>IF(OR(H734="",F734=""),"",H734-F734)</f>
        <v/>
      </c>
      <c r="J734">
        <f>IF(I734="","",IF(I734&lt;=0,"BREACH",IF(I734&lt;=500,"WARNING","OK")))</f>
        <v/>
      </c>
    </row>
    <row r="735">
      <c r="B735" s="7" t="n"/>
      <c r="C735" s="7" t="n"/>
      <c r="D735" s="7">
        <f>IF(OR(B735="",C735=""),"",B735+C735)</f>
        <v/>
      </c>
      <c r="E735" s="7">
        <f>IF(D735="","",MAX($D$2:D735))</f>
        <v/>
      </c>
      <c r="F735" s="7">
        <f>IF(OR(E735="",D735=""),"",E735-D735)</f>
        <v/>
      </c>
      <c r="G735" s="8">
        <f>IF(OR(E735="",F735="",E735=0),"",F735/E735)</f>
        <v/>
      </c>
      <c r="H735" s="7" t="n"/>
      <c r="I735" s="7">
        <f>IF(OR(H735="",F735=""),"",H735-F735)</f>
        <v/>
      </c>
      <c r="J735">
        <f>IF(I735="","",IF(I735&lt;=0,"BREACH",IF(I735&lt;=500,"WARNING","OK")))</f>
        <v/>
      </c>
    </row>
    <row r="736">
      <c r="B736" s="7" t="n"/>
      <c r="C736" s="7" t="n"/>
      <c r="D736" s="7">
        <f>IF(OR(B736="",C736=""),"",B736+C736)</f>
        <v/>
      </c>
      <c r="E736" s="7">
        <f>IF(D736="","",MAX($D$2:D736))</f>
        <v/>
      </c>
      <c r="F736" s="7">
        <f>IF(OR(E736="",D736=""),"",E736-D736)</f>
        <v/>
      </c>
      <c r="G736" s="8">
        <f>IF(OR(E736="",F736="",E736=0),"",F736/E736)</f>
        <v/>
      </c>
      <c r="H736" s="7" t="n"/>
      <c r="I736" s="7">
        <f>IF(OR(H736="",F736=""),"",H736-F736)</f>
        <v/>
      </c>
      <c r="J736">
        <f>IF(I736="","",IF(I736&lt;=0,"BREACH",IF(I736&lt;=500,"WARNING","OK")))</f>
        <v/>
      </c>
    </row>
    <row r="737">
      <c r="B737" s="7" t="n"/>
      <c r="C737" s="7" t="n"/>
      <c r="D737" s="7">
        <f>IF(OR(B737="",C737=""),"",B737+C737)</f>
        <v/>
      </c>
      <c r="E737" s="7">
        <f>IF(D737="","",MAX($D$2:D737))</f>
        <v/>
      </c>
      <c r="F737" s="7">
        <f>IF(OR(E737="",D737=""),"",E737-D737)</f>
        <v/>
      </c>
      <c r="G737" s="8">
        <f>IF(OR(E737="",F737="",E737=0),"",F737/E737)</f>
        <v/>
      </c>
      <c r="H737" s="7" t="n"/>
      <c r="I737" s="7">
        <f>IF(OR(H737="",F737=""),"",H737-F737)</f>
        <v/>
      </c>
      <c r="J737">
        <f>IF(I737="","",IF(I737&lt;=0,"BREACH",IF(I737&lt;=500,"WARNING","OK")))</f>
        <v/>
      </c>
    </row>
    <row r="738">
      <c r="B738" s="7" t="n"/>
      <c r="C738" s="7" t="n"/>
      <c r="D738" s="7">
        <f>IF(OR(B738="",C738=""),"",B738+C738)</f>
        <v/>
      </c>
      <c r="E738" s="7">
        <f>IF(D738="","",MAX($D$2:D738))</f>
        <v/>
      </c>
      <c r="F738" s="7">
        <f>IF(OR(E738="",D738=""),"",E738-D738)</f>
        <v/>
      </c>
      <c r="G738" s="8">
        <f>IF(OR(E738="",F738="",E738=0),"",F738/E738)</f>
        <v/>
      </c>
      <c r="H738" s="7" t="n"/>
      <c r="I738" s="7">
        <f>IF(OR(H738="",F738=""),"",H738-F738)</f>
        <v/>
      </c>
      <c r="J738">
        <f>IF(I738="","",IF(I738&lt;=0,"BREACH",IF(I738&lt;=500,"WARNING","OK")))</f>
        <v/>
      </c>
    </row>
    <row r="739">
      <c r="B739" s="7" t="n"/>
      <c r="C739" s="7" t="n"/>
      <c r="D739" s="7">
        <f>IF(OR(B739="",C739=""),"",B739+C739)</f>
        <v/>
      </c>
      <c r="E739" s="7">
        <f>IF(D739="","",MAX($D$2:D739))</f>
        <v/>
      </c>
      <c r="F739" s="7">
        <f>IF(OR(E739="",D739=""),"",E739-D739)</f>
        <v/>
      </c>
      <c r="G739" s="8">
        <f>IF(OR(E739="",F739="",E739=0),"",F739/E739)</f>
        <v/>
      </c>
      <c r="H739" s="7" t="n"/>
      <c r="I739" s="7">
        <f>IF(OR(H739="",F739=""),"",H739-F739)</f>
        <v/>
      </c>
      <c r="J739">
        <f>IF(I739="","",IF(I739&lt;=0,"BREACH",IF(I739&lt;=500,"WARNING","OK")))</f>
        <v/>
      </c>
    </row>
    <row r="740">
      <c r="B740" s="7" t="n"/>
      <c r="C740" s="7" t="n"/>
      <c r="D740" s="7">
        <f>IF(OR(B740="",C740=""),"",B740+C740)</f>
        <v/>
      </c>
      <c r="E740" s="7">
        <f>IF(D740="","",MAX($D$2:D740))</f>
        <v/>
      </c>
      <c r="F740" s="7">
        <f>IF(OR(E740="",D740=""),"",E740-D740)</f>
        <v/>
      </c>
      <c r="G740" s="8">
        <f>IF(OR(E740="",F740="",E740=0),"",F740/E740)</f>
        <v/>
      </c>
      <c r="H740" s="7" t="n"/>
      <c r="I740" s="7">
        <f>IF(OR(H740="",F740=""),"",H740-F740)</f>
        <v/>
      </c>
      <c r="J740">
        <f>IF(I740="","",IF(I740&lt;=0,"BREACH",IF(I740&lt;=500,"WARNING","OK")))</f>
        <v/>
      </c>
    </row>
    <row r="741">
      <c r="B741" s="7" t="n"/>
      <c r="C741" s="7" t="n"/>
      <c r="D741" s="7">
        <f>IF(OR(B741="",C741=""),"",B741+C741)</f>
        <v/>
      </c>
      <c r="E741" s="7">
        <f>IF(D741="","",MAX($D$2:D741))</f>
        <v/>
      </c>
      <c r="F741" s="7">
        <f>IF(OR(E741="",D741=""),"",E741-D741)</f>
        <v/>
      </c>
      <c r="G741" s="8">
        <f>IF(OR(E741="",F741="",E741=0),"",F741/E741)</f>
        <v/>
      </c>
      <c r="H741" s="7" t="n"/>
      <c r="I741" s="7">
        <f>IF(OR(H741="",F741=""),"",H741-F741)</f>
        <v/>
      </c>
      <c r="J741">
        <f>IF(I741="","",IF(I741&lt;=0,"BREACH",IF(I741&lt;=500,"WARNING","OK")))</f>
        <v/>
      </c>
    </row>
    <row r="742">
      <c r="B742" s="7" t="n"/>
      <c r="C742" s="7" t="n"/>
      <c r="D742" s="7">
        <f>IF(OR(B742="",C742=""),"",B742+C742)</f>
        <v/>
      </c>
      <c r="E742" s="7">
        <f>IF(D742="","",MAX($D$2:D742))</f>
        <v/>
      </c>
      <c r="F742" s="7">
        <f>IF(OR(E742="",D742=""),"",E742-D742)</f>
        <v/>
      </c>
      <c r="G742" s="8">
        <f>IF(OR(E742="",F742="",E742=0),"",F742/E742)</f>
        <v/>
      </c>
      <c r="H742" s="7" t="n"/>
      <c r="I742" s="7">
        <f>IF(OR(H742="",F742=""),"",H742-F742)</f>
        <v/>
      </c>
      <c r="J742">
        <f>IF(I742="","",IF(I742&lt;=0,"BREACH",IF(I742&lt;=500,"WARNING","OK")))</f>
        <v/>
      </c>
    </row>
    <row r="743">
      <c r="B743" s="7" t="n"/>
      <c r="C743" s="7" t="n"/>
      <c r="D743" s="7">
        <f>IF(OR(B743="",C743=""),"",B743+C743)</f>
        <v/>
      </c>
      <c r="E743" s="7">
        <f>IF(D743="","",MAX($D$2:D743))</f>
        <v/>
      </c>
      <c r="F743" s="7">
        <f>IF(OR(E743="",D743=""),"",E743-D743)</f>
        <v/>
      </c>
      <c r="G743" s="8">
        <f>IF(OR(E743="",F743="",E743=0),"",F743/E743)</f>
        <v/>
      </c>
      <c r="H743" s="7" t="n"/>
      <c r="I743" s="7">
        <f>IF(OR(H743="",F743=""),"",H743-F743)</f>
        <v/>
      </c>
      <c r="J743">
        <f>IF(I743="","",IF(I743&lt;=0,"BREACH",IF(I743&lt;=500,"WARNING","OK")))</f>
        <v/>
      </c>
    </row>
    <row r="744">
      <c r="B744" s="7" t="n"/>
      <c r="C744" s="7" t="n"/>
      <c r="D744" s="7">
        <f>IF(OR(B744="",C744=""),"",B744+C744)</f>
        <v/>
      </c>
      <c r="E744" s="7">
        <f>IF(D744="","",MAX($D$2:D744))</f>
        <v/>
      </c>
      <c r="F744" s="7">
        <f>IF(OR(E744="",D744=""),"",E744-D744)</f>
        <v/>
      </c>
      <c r="G744" s="8">
        <f>IF(OR(E744="",F744="",E744=0),"",F744/E744)</f>
        <v/>
      </c>
      <c r="H744" s="7" t="n"/>
      <c r="I744" s="7">
        <f>IF(OR(H744="",F744=""),"",H744-F744)</f>
        <v/>
      </c>
      <c r="J744">
        <f>IF(I744="","",IF(I744&lt;=0,"BREACH",IF(I744&lt;=500,"WARNING","OK")))</f>
        <v/>
      </c>
    </row>
    <row r="745">
      <c r="B745" s="7" t="n"/>
      <c r="C745" s="7" t="n"/>
      <c r="D745" s="7">
        <f>IF(OR(B745="",C745=""),"",B745+C745)</f>
        <v/>
      </c>
      <c r="E745" s="7">
        <f>IF(D745="","",MAX($D$2:D745))</f>
        <v/>
      </c>
      <c r="F745" s="7">
        <f>IF(OR(E745="",D745=""),"",E745-D745)</f>
        <v/>
      </c>
      <c r="G745" s="8">
        <f>IF(OR(E745="",F745="",E745=0),"",F745/E745)</f>
        <v/>
      </c>
      <c r="H745" s="7" t="n"/>
      <c r="I745" s="7">
        <f>IF(OR(H745="",F745=""),"",H745-F745)</f>
        <v/>
      </c>
      <c r="J745">
        <f>IF(I745="","",IF(I745&lt;=0,"BREACH",IF(I745&lt;=500,"WARNING","OK")))</f>
        <v/>
      </c>
    </row>
    <row r="746">
      <c r="B746" s="7" t="n"/>
      <c r="C746" s="7" t="n"/>
      <c r="D746" s="7">
        <f>IF(OR(B746="",C746=""),"",B746+C746)</f>
        <v/>
      </c>
      <c r="E746" s="7">
        <f>IF(D746="","",MAX($D$2:D746))</f>
        <v/>
      </c>
      <c r="F746" s="7">
        <f>IF(OR(E746="",D746=""),"",E746-D746)</f>
        <v/>
      </c>
      <c r="G746" s="8">
        <f>IF(OR(E746="",F746="",E746=0),"",F746/E746)</f>
        <v/>
      </c>
      <c r="H746" s="7" t="n"/>
      <c r="I746" s="7">
        <f>IF(OR(H746="",F746=""),"",H746-F746)</f>
        <v/>
      </c>
      <c r="J746">
        <f>IF(I746="","",IF(I746&lt;=0,"BREACH",IF(I746&lt;=500,"WARNING","OK")))</f>
        <v/>
      </c>
    </row>
    <row r="747">
      <c r="B747" s="7" t="n"/>
      <c r="C747" s="7" t="n"/>
      <c r="D747" s="7">
        <f>IF(OR(B747="",C747=""),"",B747+C747)</f>
        <v/>
      </c>
      <c r="E747" s="7">
        <f>IF(D747="","",MAX($D$2:D747))</f>
        <v/>
      </c>
      <c r="F747" s="7">
        <f>IF(OR(E747="",D747=""),"",E747-D747)</f>
        <v/>
      </c>
      <c r="G747" s="8">
        <f>IF(OR(E747="",F747="",E747=0),"",F747/E747)</f>
        <v/>
      </c>
      <c r="H747" s="7" t="n"/>
      <c r="I747" s="7">
        <f>IF(OR(H747="",F747=""),"",H747-F747)</f>
        <v/>
      </c>
      <c r="J747">
        <f>IF(I747="","",IF(I747&lt;=0,"BREACH",IF(I747&lt;=500,"WARNING","OK")))</f>
        <v/>
      </c>
    </row>
    <row r="748">
      <c r="B748" s="7" t="n"/>
      <c r="C748" s="7" t="n"/>
      <c r="D748" s="7">
        <f>IF(OR(B748="",C748=""),"",B748+C748)</f>
        <v/>
      </c>
      <c r="E748" s="7">
        <f>IF(D748="","",MAX($D$2:D748))</f>
        <v/>
      </c>
      <c r="F748" s="7">
        <f>IF(OR(E748="",D748=""),"",E748-D748)</f>
        <v/>
      </c>
      <c r="G748" s="8">
        <f>IF(OR(E748="",F748="",E748=0),"",F748/E748)</f>
        <v/>
      </c>
      <c r="H748" s="7" t="n"/>
      <c r="I748" s="7">
        <f>IF(OR(H748="",F748=""),"",H748-F748)</f>
        <v/>
      </c>
      <c r="J748">
        <f>IF(I748="","",IF(I748&lt;=0,"BREACH",IF(I748&lt;=500,"WARNING","OK")))</f>
        <v/>
      </c>
    </row>
    <row r="749">
      <c r="B749" s="7" t="n"/>
      <c r="C749" s="7" t="n"/>
      <c r="D749" s="7">
        <f>IF(OR(B749="",C749=""),"",B749+C749)</f>
        <v/>
      </c>
      <c r="E749" s="7">
        <f>IF(D749="","",MAX($D$2:D749))</f>
        <v/>
      </c>
      <c r="F749" s="7">
        <f>IF(OR(E749="",D749=""),"",E749-D749)</f>
        <v/>
      </c>
      <c r="G749" s="8">
        <f>IF(OR(E749="",F749="",E749=0),"",F749/E749)</f>
        <v/>
      </c>
      <c r="H749" s="7" t="n"/>
      <c r="I749" s="7">
        <f>IF(OR(H749="",F749=""),"",H749-F749)</f>
        <v/>
      </c>
      <c r="J749">
        <f>IF(I749="","",IF(I749&lt;=0,"BREACH",IF(I749&lt;=500,"WARNING","OK")))</f>
        <v/>
      </c>
    </row>
    <row r="750">
      <c r="B750" s="7" t="n"/>
      <c r="C750" s="7" t="n"/>
      <c r="D750" s="7">
        <f>IF(OR(B750="",C750=""),"",B750+C750)</f>
        <v/>
      </c>
      <c r="E750" s="7">
        <f>IF(D750="","",MAX($D$2:D750))</f>
        <v/>
      </c>
      <c r="F750" s="7">
        <f>IF(OR(E750="",D750=""),"",E750-D750)</f>
        <v/>
      </c>
      <c r="G750" s="8">
        <f>IF(OR(E750="",F750="",E750=0),"",F750/E750)</f>
        <v/>
      </c>
      <c r="H750" s="7" t="n"/>
      <c r="I750" s="7">
        <f>IF(OR(H750="",F750=""),"",H750-F750)</f>
        <v/>
      </c>
      <c r="J750">
        <f>IF(I750="","",IF(I750&lt;=0,"BREACH",IF(I750&lt;=500,"WARNING","OK")))</f>
        <v/>
      </c>
    </row>
    <row r="751">
      <c r="B751" s="7" t="n"/>
      <c r="C751" s="7" t="n"/>
      <c r="D751" s="7">
        <f>IF(OR(B751="",C751=""),"",B751+C751)</f>
        <v/>
      </c>
      <c r="E751" s="7">
        <f>IF(D751="","",MAX($D$2:D751))</f>
        <v/>
      </c>
      <c r="F751" s="7">
        <f>IF(OR(E751="",D751=""),"",E751-D751)</f>
        <v/>
      </c>
      <c r="G751" s="8">
        <f>IF(OR(E751="",F751="",E751=0),"",F751/E751)</f>
        <v/>
      </c>
      <c r="H751" s="7" t="n"/>
      <c r="I751" s="7">
        <f>IF(OR(H751="",F751=""),"",H751-F751)</f>
        <v/>
      </c>
      <c r="J751">
        <f>IF(I751="","",IF(I751&lt;=0,"BREACH",IF(I751&lt;=500,"WARNING","OK")))</f>
        <v/>
      </c>
    </row>
    <row r="752">
      <c r="B752" s="7" t="n"/>
      <c r="C752" s="7" t="n"/>
      <c r="D752" s="7">
        <f>IF(OR(B752="",C752=""),"",B752+C752)</f>
        <v/>
      </c>
      <c r="E752" s="7">
        <f>IF(D752="","",MAX($D$2:D752))</f>
        <v/>
      </c>
      <c r="F752" s="7">
        <f>IF(OR(E752="",D752=""),"",E752-D752)</f>
        <v/>
      </c>
      <c r="G752" s="8">
        <f>IF(OR(E752="",F752="",E752=0),"",F752/E752)</f>
        <v/>
      </c>
      <c r="H752" s="7" t="n"/>
      <c r="I752" s="7">
        <f>IF(OR(H752="",F752=""),"",H752-F752)</f>
        <v/>
      </c>
      <c r="J752">
        <f>IF(I752="","",IF(I752&lt;=0,"BREACH",IF(I752&lt;=500,"WARNING","OK")))</f>
        <v/>
      </c>
    </row>
    <row r="753">
      <c r="B753" s="7" t="n"/>
      <c r="C753" s="7" t="n"/>
      <c r="D753" s="7">
        <f>IF(OR(B753="",C753=""),"",B753+C753)</f>
        <v/>
      </c>
      <c r="E753" s="7">
        <f>IF(D753="","",MAX($D$2:D753))</f>
        <v/>
      </c>
      <c r="F753" s="7">
        <f>IF(OR(E753="",D753=""),"",E753-D753)</f>
        <v/>
      </c>
      <c r="G753" s="8">
        <f>IF(OR(E753="",F753="",E753=0),"",F753/E753)</f>
        <v/>
      </c>
      <c r="H753" s="7" t="n"/>
      <c r="I753" s="7">
        <f>IF(OR(H753="",F753=""),"",H753-F753)</f>
        <v/>
      </c>
      <c r="J753">
        <f>IF(I753="","",IF(I753&lt;=0,"BREACH",IF(I753&lt;=500,"WARNING","OK")))</f>
        <v/>
      </c>
    </row>
    <row r="754">
      <c r="B754" s="7" t="n"/>
      <c r="C754" s="7" t="n"/>
      <c r="D754" s="7">
        <f>IF(OR(B754="",C754=""),"",B754+C754)</f>
        <v/>
      </c>
      <c r="E754" s="7">
        <f>IF(D754="","",MAX($D$2:D754))</f>
        <v/>
      </c>
      <c r="F754" s="7">
        <f>IF(OR(E754="",D754=""),"",E754-D754)</f>
        <v/>
      </c>
      <c r="G754" s="8">
        <f>IF(OR(E754="",F754="",E754=0),"",F754/E754)</f>
        <v/>
      </c>
      <c r="H754" s="7" t="n"/>
      <c r="I754" s="7">
        <f>IF(OR(H754="",F754=""),"",H754-F754)</f>
        <v/>
      </c>
      <c r="J754">
        <f>IF(I754="","",IF(I754&lt;=0,"BREACH",IF(I754&lt;=500,"WARNING","OK")))</f>
        <v/>
      </c>
    </row>
    <row r="755">
      <c r="B755" s="7" t="n"/>
      <c r="C755" s="7" t="n"/>
      <c r="D755" s="7">
        <f>IF(OR(B755="",C755=""),"",B755+C755)</f>
        <v/>
      </c>
      <c r="E755" s="7">
        <f>IF(D755="","",MAX($D$2:D755))</f>
        <v/>
      </c>
      <c r="F755" s="7">
        <f>IF(OR(E755="",D755=""),"",E755-D755)</f>
        <v/>
      </c>
      <c r="G755" s="8">
        <f>IF(OR(E755="",F755="",E755=0),"",F755/E755)</f>
        <v/>
      </c>
      <c r="H755" s="7" t="n"/>
      <c r="I755" s="7">
        <f>IF(OR(H755="",F755=""),"",H755-F755)</f>
        <v/>
      </c>
      <c r="J755">
        <f>IF(I755="","",IF(I755&lt;=0,"BREACH",IF(I755&lt;=500,"WARNING","OK")))</f>
        <v/>
      </c>
    </row>
    <row r="756">
      <c r="B756" s="7" t="n"/>
      <c r="C756" s="7" t="n"/>
      <c r="D756" s="7">
        <f>IF(OR(B756="",C756=""),"",B756+C756)</f>
        <v/>
      </c>
      <c r="E756" s="7">
        <f>IF(D756="","",MAX($D$2:D756))</f>
        <v/>
      </c>
      <c r="F756" s="7">
        <f>IF(OR(E756="",D756=""),"",E756-D756)</f>
        <v/>
      </c>
      <c r="G756" s="8">
        <f>IF(OR(E756="",F756="",E756=0),"",F756/E756)</f>
        <v/>
      </c>
      <c r="H756" s="7" t="n"/>
      <c r="I756" s="7">
        <f>IF(OR(H756="",F756=""),"",H756-F756)</f>
        <v/>
      </c>
      <c r="J756">
        <f>IF(I756="","",IF(I756&lt;=0,"BREACH",IF(I756&lt;=500,"WARNING","OK")))</f>
        <v/>
      </c>
    </row>
    <row r="757">
      <c r="B757" s="7" t="n"/>
      <c r="C757" s="7" t="n"/>
      <c r="D757" s="7">
        <f>IF(OR(B757="",C757=""),"",B757+C757)</f>
        <v/>
      </c>
      <c r="E757" s="7">
        <f>IF(D757="","",MAX($D$2:D757))</f>
        <v/>
      </c>
      <c r="F757" s="7">
        <f>IF(OR(E757="",D757=""),"",E757-D757)</f>
        <v/>
      </c>
      <c r="G757" s="8">
        <f>IF(OR(E757="",F757="",E757=0),"",F757/E757)</f>
        <v/>
      </c>
      <c r="H757" s="7" t="n"/>
      <c r="I757" s="7">
        <f>IF(OR(H757="",F757=""),"",H757-F757)</f>
        <v/>
      </c>
      <c r="J757">
        <f>IF(I757="","",IF(I757&lt;=0,"BREACH",IF(I757&lt;=500,"WARNING","OK")))</f>
        <v/>
      </c>
    </row>
    <row r="758">
      <c r="B758" s="7" t="n"/>
      <c r="C758" s="7" t="n"/>
      <c r="D758" s="7">
        <f>IF(OR(B758="",C758=""),"",B758+C758)</f>
        <v/>
      </c>
      <c r="E758" s="7">
        <f>IF(D758="","",MAX($D$2:D758))</f>
        <v/>
      </c>
      <c r="F758" s="7">
        <f>IF(OR(E758="",D758=""),"",E758-D758)</f>
        <v/>
      </c>
      <c r="G758" s="8">
        <f>IF(OR(E758="",F758="",E758=0),"",F758/E758)</f>
        <v/>
      </c>
      <c r="H758" s="7" t="n"/>
      <c r="I758" s="7">
        <f>IF(OR(H758="",F758=""),"",H758-F758)</f>
        <v/>
      </c>
      <c r="J758">
        <f>IF(I758="","",IF(I758&lt;=0,"BREACH",IF(I758&lt;=500,"WARNING","OK")))</f>
        <v/>
      </c>
    </row>
    <row r="759">
      <c r="B759" s="7" t="n"/>
      <c r="C759" s="7" t="n"/>
      <c r="D759" s="7">
        <f>IF(OR(B759="",C759=""),"",B759+C759)</f>
        <v/>
      </c>
      <c r="E759" s="7">
        <f>IF(D759="","",MAX($D$2:D759))</f>
        <v/>
      </c>
      <c r="F759" s="7">
        <f>IF(OR(E759="",D759=""),"",E759-D759)</f>
        <v/>
      </c>
      <c r="G759" s="8">
        <f>IF(OR(E759="",F759="",E759=0),"",F759/E759)</f>
        <v/>
      </c>
      <c r="H759" s="7" t="n"/>
      <c r="I759" s="7">
        <f>IF(OR(H759="",F759=""),"",H759-F759)</f>
        <v/>
      </c>
      <c r="J759">
        <f>IF(I759="","",IF(I759&lt;=0,"BREACH",IF(I759&lt;=500,"WARNING","OK")))</f>
        <v/>
      </c>
    </row>
    <row r="760">
      <c r="B760" s="7" t="n"/>
      <c r="C760" s="7" t="n"/>
      <c r="D760" s="7">
        <f>IF(OR(B760="",C760=""),"",B760+C760)</f>
        <v/>
      </c>
      <c r="E760" s="7">
        <f>IF(D760="","",MAX($D$2:D760))</f>
        <v/>
      </c>
      <c r="F760" s="7">
        <f>IF(OR(E760="",D760=""),"",E760-D760)</f>
        <v/>
      </c>
      <c r="G760" s="8">
        <f>IF(OR(E760="",F760="",E760=0),"",F760/E760)</f>
        <v/>
      </c>
      <c r="H760" s="7" t="n"/>
      <c r="I760" s="7">
        <f>IF(OR(H760="",F760=""),"",H760-F760)</f>
        <v/>
      </c>
      <c r="J760">
        <f>IF(I760="","",IF(I760&lt;=0,"BREACH",IF(I760&lt;=500,"WARNING","OK")))</f>
        <v/>
      </c>
    </row>
    <row r="761">
      <c r="B761" s="7" t="n"/>
      <c r="C761" s="7" t="n"/>
      <c r="D761" s="7">
        <f>IF(OR(B761="",C761=""),"",B761+C761)</f>
        <v/>
      </c>
      <c r="E761" s="7">
        <f>IF(D761="","",MAX($D$2:D761))</f>
        <v/>
      </c>
      <c r="F761" s="7">
        <f>IF(OR(E761="",D761=""),"",E761-D761)</f>
        <v/>
      </c>
      <c r="G761" s="8">
        <f>IF(OR(E761="",F761="",E761=0),"",F761/E761)</f>
        <v/>
      </c>
      <c r="H761" s="7" t="n"/>
      <c r="I761" s="7">
        <f>IF(OR(H761="",F761=""),"",H761-F761)</f>
        <v/>
      </c>
      <c r="J761">
        <f>IF(I761="","",IF(I761&lt;=0,"BREACH",IF(I761&lt;=500,"WARNING","OK")))</f>
        <v/>
      </c>
    </row>
    <row r="762">
      <c r="B762" s="7" t="n"/>
      <c r="C762" s="7" t="n"/>
      <c r="D762" s="7">
        <f>IF(OR(B762="",C762=""),"",B762+C762)</f>
        <v/>
      </c>
      <c r="E762" s="7">
        <f>IF(D762="","",MAX($D$2:D762))</f>
        <v/>
      </c>
      <c r="F762" s="7">
        <f>IF(OR(E762="",D762=""),"",E762-D762)</f>
        <v/>
      </c>
      <c r="G762" s="8">
        <f>IF(OR(E762="",F762="",E762=0),"",F762/E762)</f>
        <v/>
      </c>
      <c r="H762" s="7" t="n"/>
      <c r="I762" s="7">
        <f>IF(OR(H762="",F762=""),"",H762-F762)</f>
        <v/>
      </c>
      <c r="J762">
        <f>IF(I762="","",IF(I762&lt;=0,"BREACH",IF(I762&lt;=500,"WARNING","OK")))</f>
        <v/>
      </c>
    </row>
    <row r="763">
      <c r="B763" s="7" t="n"/>
      <c r="C763" s="7" t="n"/>
      <c r="D763" s="7">
        <f>IF(OR(B763="",C763=""),"",B763+C763)</f>
        <v/>
      </c>
      <c r="E763" s="7">
        <f>IF(D763="","",MAX($D$2:D763))</f>
        <v/>
      </c>
      <c r="F763" s="7">
        <f>IF(OR(E763="",D763=""),"",E763-D763)</f>
        <v/>
      </c>
      <c r="G763" s="8">
        <f>IF(OR(E763="",F763="",E763=0),"",F763/E763)</f>
        <v/>
      </c>
      <c r="H763" s="7" t="n"/>
      <c r="I763" s="7">
        <f>IF(OR(H763="",F763=""),"",H763-F763)</f>
        <v/>
      </c>
      <c r="J763">
        <f>IF(I763="","",IF(I763&lt;=0,"BREACH",IF(I763&lt;=500,"WARNING","OK")))</f>
        <v/>
      </c>
    </row>
    <row r="764">
      <c r="B764" s="7" t="n"/>
      <c r="C764" s="7" t="n"/>
      <c r="D764" s="7">
        <f>IF(OR(B764="",C764=""),"",B764+C764)</f>
        <v/>
      </c>
      <c r="E764" s="7">
        <f>IF(D764="","",MAX($D$2:D764))</f>
        <v/>
      </c>
      <c r="F764" s="7">
        <f>IF(OR(E764="",D764=""),"",E764-D764)</f>
        <v/>
      </c>
      <c r="G764" s="8">
        <f>IF(OR(E764="",F764="",E764=0),"",F764/E764)</f>
        <v/>
      </c>
      <c r="H764" s="7" t="n"/>
      <c r="I764" s="7">
        <f>IF(OR(H764="",F764=""),"",H764-F764)</f>
        <v/>
      </c>
      <c r="J764">
        <f>IF(I764="","",IF(I764&lt;=0,"BREACH",IF(I764&lt;=500,"WARNING","OK")))</f>
        <v/>
      </c>
    </row>
    <row r="765">
      <c r="B765" s="7" t="n"/>
      <c r="C765" s="7" t="n"/>
      <c r="D765" s="7">
        <f>IF(OR(B765="",C765=""),"",B765+C765)</f>
        <v/>
      </c>
      <c r="E765" s="7">
        <f>IF(D765="","",MAX($D$2:D765))</f>
        <v/>
      </c>
      <c r="F765" s="7">
        <f>IF(OR(E765="",D765=""),"",E765-D765)</f>
        <v/>
      </c>
      <c r="G765" s="8">
        <f>IF(OR(E765="",F765="",E765=0),"",F765/E765)</f>
        <v/>
      </c>
      <c r="H765" s="7" t="n"/>
      <c r="I765" s="7">
        <f>IF(OR(H765="",F765=""),"",H765-F765)</f>
        <v/>
      </c>
      <c r="J765">
        <f>IF(I765="","",IF(I765&lt;=0,"BREACH",IF(I765&lt;=500,"WARNING","OK")))</f>
        <v/>
      </c>
    </row>
    <row r="766">
      <c r="B766" s="7" t="n"/>
      <c r="C766" s="7" t="n"/>
      <c r="D766" s="7">
        <f>IF(OR(B766="",C766=""),"",B766+C766)</f>
        <v/>
      </c>
      <c r="E766" s="7">
        <f>IF(D766="","",MAX($D$2:D766))</f>
        <v/>
      </c>
      <c r="F766" s="7">
        <f>IF(OR(E766="",D766=""),"",E766-D766)</f>
        <v/>
      </c>
      <c r="G766" s="8">
        <f>IF(OR(E766="",F766="",E766=0),"",F766/E766)</f>
        <v/>
      </c>
      <c r="H766" s="7" t="n"/>
      <c r="I766" s="7">
        <f>IF(OR(H766="",F766=""),"",H766-F766)</f>
        <v/>
      </c>
      <c r="J766">
        <f>IF(I766="","",IF(I766&lt;=0,"BREACH",IF(I766&lt;=500,"WARNING","OK")))</f>
        <v/>
      </c>
    </row>
    <row r="767">
      <c r="B767" s="7" t="n"/>
      <c r="C767" s="7" t="n"/>
      <c r="D767" s="7">
        <f>IF(OR(B767="",C767=""),"",B767+C767)</f>
        <v/>
      </c>
      <c r="E767" s="7">
        <f>IF(D767="","",MAX($D$2:D767))</f>
        <v/>
      </c>
      <c r="F767" s="7">
        <f>IF(OR(E767="",D767=""),"",E767-D767)</f>
        <v/>
      </c>
      <c r="G767" s="8">
        <f>IF(OR(E767="",F767="",E767=0),"",F767/E767)</f>
        <v/>
      </c>
      <c r="H767" s="7" t="n"/>
      <c r="I767" s="7">
        <f>IF(OR(H767="",F767=""),"",H767-F767)</f>
        <v/>
      </c>
      <c r="J767">
        <f>IF(I767="","",IF(I767&lt;=0,"BREACH",IF(I767&lt;=500,"WARNING","OK")))</f>
        <v/>
      </c>
    </row>
    <row r="768">
      <c r="B768" s="7" t="n"/>
      <c r="C768" s="7" t="n"/>
      <c r="D768" s="7">
        <f>IF(OR(B768="",C768=""),"",B768+C768)</f>
        <v/>
      </c>
      <c r="E768" s="7">
        <f>IF(D768="","",MAX($D$2:D768))</f>
        <v/>
      </c>
      <c r="F768" s="7">
        <f>IF(OR(E768="",D768=""),"",E768-D768)</f>
        <v/>
      </c>
      <c r="G768" s="8">
        <f>IF(OR(E768="",F768="",E768=0),"",F768/E768)</f>
        <v/>
      </c>
      <c r="H768" s="7" t="n"/>
      <c r="I768" s="7">
        <f>IF(OR(H768="",F768=""),"",H768-F768)</f>
        <v/>
      </c>
      <c r="J768">
        <f>IF(I768="","",IF(I768&lt;=0,"BREACH",IF(I768&lt;=500,"WARNING","OK")))</f>
        <v/>
      </c>
    </row>
    <row r="769">
      <c r="B769" s="7" t="n"/>
      <c r="C769" s="7" t="n"/>
      <c r="D769" s="7">
        <f>IF(OR(B769="",C769=""),"",B769+C769)</f>
        <v/>
      </c>
      <c r="E769" s="7">
        <f>IF(D769="","",MAX($D$2:D769))</f>
        <v/>
      </c>
      <c r="F769" s="7">
        <f>IF(OR(E769="",D769=""),"",E769-D769)</f>
        <v/>
      </c>
      <c r="G769" s="8">
        <f>IF(OR(E769="",F769="",E769=0),"",F769/E769)</f>
        <v/>
      </c>
      <c r="H769" s="7" t="n"/>
      <c r="I769" s="7">
        <f>IF(OR(H769="",F769=""),"",H769-F769)</f>
        <v/>
      </c>
      <c r="J769">
        <f>IF(I769="","",IF(I769&lt;=0,"BREACH",IF(I769&lt;=500,"WARNING","OK")))</f>
        <v/>
      </c>
    </row>
    <row r="770">
      <c r="B770" s="7" t="n"/>
      <c r="C770" s="7" t="n"/>
      <c r="D770" s="7">
        <f>IF(OR(B770="",C770=""),"",B770+C770)</f>
        <v/>
      </c>
      <c r="E770" s="7">
        <f>IF(D770="","",MAX($D$2:D770))</f>
        <v/>
      </c>
      <c r="F770" s="7">
        <f>IF(OR(E770="",D770=""),"",E770-D770)</f>
        <v/>
      </c>
      <c r="G770" s="8">
        <f>IF(OR(E770="",F770="",E770=0),"",F770/E770)</f>
        <v/>
      </c>
      <c r="H770" s="7" t="n"/>
      <c r="I770" s="7">
        <f>IF(OR(H770="",F770=""),"",H770-F770)</f>
        <v/>
      </c>
      <c r="J770">
        <f>IF(I770="","",IF(I770&lt;=0,"BREACH",IF(I770&lt;=500,"WARNING","OK")))</f>
        <v/>
      </c>
    </row>
    <row r="771">
      <c r="B771" s="7" t="n"/>
      <c r="C771" s="7" t="n"/>
      <c r="D771" s="7">
        <f>IF(OR(B771="",C771=""),"",B771+C771)</f>
        <v/>
      </c>
      <c r="E771" s="7">
        <f>IF(D771="","",MAX($D$2:D771))</f>
        <v/>
      </c>
      <c r="F771" s="7">
        <f>IF(OR(E771="",D771=""),"",E771-D771)</f>
        <v/>
      </c>
      <c r="G771" s="8">
        <f>IF(OR(E771="",F771="",E771=0),"",F771/E771)</f>
        <v/>
      </c>
      <c r="H771" s="7" t="n"/>
      <c r="I771" s="7">
        <f>IF(OR(H771="",F771=""),"",H771-F771)</f>
        <v/>
      </c>
      <c r="J771">
        <f>IF(I771="","",IF(I771&lt;=0,"BREACH",IF(I771&lt;=500,"WARNING","OK")))</f>
        <v/>
      </c>
    </row>
    <row r="772">
      <c r="B772" s="7" t="n"/>
      <c r="C772" s="7" t="n"/>
      <c r="D772" s="7">
        <f>IF(OR(B772="",C772=""),"",B772+C772)</f>
        <v/>
      </c>
      <c r="E772" s="7">
        <f>IF(D772="","",MAX($D$2:D772))</f>
        <v/>
      </c>
      <c r="F772" s="7">
        <f>IF(OR(E772="",D772=""),"",E772-D772)</f>
        <v/>
      </c>
      <c r="G772" s="8">
        <f>IF(OR(E772="",F772="",E772=0),"",F772/E772)</f>
        <v/>
      </c>
      <c r="H772" s="7" t="n"/>
      <c r="I772" s="7">
        <f>IF(OR(H772="",F772=""),"",H772-F772)</f>
        <v/>
      </c>
      <c r="J772">
        <f>IF(I772="","",IF(I772&lt;=0,"BREACH",IF(I772&lt;=500,"WARNING","OK")))</f>
        <v/>
      </c>
    </row>
    <row r="773">
      <c r="B773" s="7" t="n"/>
      <c r="C773" s="7" t="n"/>
      <c r="D773" s="7">
        <f>IF(OR(B773="",C773=""),"",B773+C773)</f>
        <v/>
      </c>
      <c r="E773" s="7">
        <f>IF(D773="","",MAX($D$2:D773))</f>
        <v/>
      </c>
      <c r="F773" s="7">
        <f>IF(OR(E773="",D773=""),"",E773-D773)</f>
        <v/>
      </c>
      <c r="G773" s="8">
        <f>IF(OR(E773="",F773="",E773=0),"",F773/E773)</f>
        <v/>
      </c>
      <c r="H773" s="7" t="n"/>
      <c r="I773" s="7">
        <f>IF(OR(H773="",F773=""),"",H773-F773)</f>
        <v/>
      </c>
      <c r="J773">
        <f>IF(I773="","",IF(I773&lt;=0,"BREACH",IF(I773&lt;=500,"WARNING","OK")))</f>
        <v/>
      </c>
    </row>
    <row r="774">
      <c r="B774" s="7" t="n"/>
      <c r="C774" s="7" t="n"/>
      <c r="D774" s="7">
        <f>IF(OR(B774="",C774=""),"",B774+C774)</f>
        <v/>
      </c>
      <c r="E774" s="7">
        <f>IF(D774="","",MAX($D$2:D774))</f>
        <v/>
      </c>
      <c r="F774" s="7">
        <f>IF(OR(E774="",D774=""),"",E774-D774)</f>
        <v/>
      </c>
      <c r="G774" s="8">
        <f>IF(OR(E774="",F774="",E774=0),"",F774/E774)</f>
        <v/>
      </c>
      <c r="H774" s="7" t="n"/>
      <c r="I774" s="7">
        <f>IF(OR(H774="",F774=""),"",H774-F774)</f>
        <v/>
      </c>
      <c r="J774">
        <f>IF(I774="","",IF(I774&lt;=0,"BREACH",IF(I774&lt;=500,"WARNING","OK")))</f>
        <v/>
      </c>
    </row>
    <row r="775">
      <c r="B775" s="7" t="n"/>
      <c r="C775" s="7" t="n"/>
      <c r="D775" s="7">
        <f>IF(OR(B775="",C775=""),"",B775+C775)</f>
        <v/>
      </c>
      <c r="E775" s="7">
        <f>IF(D775="","",MAX($D$2:D775))</f>
        <v/>
      </c>
      <c r="F775" s="7">
        <f>IF(OR(E775="",D775=""),"",E775-D775)</f>
        <v/>
      </c>
      <c r="G775" s="8">
        <f>IF(OR(E775="",F775="",E775=0),"",F775/E775)</f>
        <v/>
      </c>
      <c r="H775" s="7" t="n"/>
      <c r="I775" s="7">
        <f>IF(OR(H775="",F775=""),"",H775-F775)</f>
        <v/>
      </c>
      <c r="J775">
        <f>IF(I775="","",IF(I775&lt;=0,"BREACH",IF(I775&lt;=500,"WARNING","OK")))</f>
        <v/>
      </c>
    </row>
    <row r="776">
      <c r="B776" s="7" t="n"/>
      <c r="C776" s="7" t="n"/>
      <c r="D776" s="7">
        <f>IF(OR(B776="",C776=""),"",B776+C776)</f>
        <v/>
      </c>
      <c r="E776" s="7">
        <f>IF(D776="","",MAX($D$2:D776))</f>
        <v/>
      </c>
      <c r="F776" s="7">
        <f>IF(OR(E776="",D776=""),"",E776-D776)</f>
        <v/>
      </c>
      <c r="G776" s="8">
        <f>IF(OR(E776="",F776="",E776=0),"",F776/E776)</f>
        <v/>
      </c>
      <c r="H776" s="7" t="n"/>
      <c r="I776" s="7">
        <f>IF(OR(H776="",F776=""),"",H776-F776)</f>
        <v/>
      </c>
      <c r="J776">
        <f>IF(I776="","",IF(I776&lt;=0,"BREACH",IF(I776&lt;=500,"WARNING","OK")))</f>
        <v/>
      </c>
    </row>
    <row r="777">
      <c r="B777" s="7" t="n"/>
      <c r="C777" s="7" t="n"/>
      <c r="D777" s="7">
        <f>IF(OR(B777="",C777=""),"",B777+C777)</f>
        <v/>
      </c>
      <c r="E777" s="7">
        <f>IF(D777="","",MAX($D$2:D777))</f>
        <v/>
      </c>
      <c r="F777" s="7">
        <f>IF(OR(E777="",D777=""),"",E777-D777)</f>
        <v/>
      </c>
      <c r="G777" s="8">
        <f>IF(OR(E777="",F777="",E777=0),"",F777/E777)</f>
        <v/>
      </c>
      <c r="H777" s="7" t="n"/>
      <c r="I777" s="7">
        <f>IF(OR(H777="",F777=""),"",H777-F777)</f>
        <v/>
      </c>
      <c r="J777">
        <f>IF(I777="","",IF(I777&lt;=0,"BREACH",IF(I777&lt;=500,"WARNING","OK")))</f>
        <v/>
      </c>
    </row>
    <row r="778">
      <c r="B778" s="7" t="n"/>
      <c r="C778" s="7" t="n"/>
      <c r="D778" s="7">
        <f>IF(OR(B778="",C778=""),"",B778+C778)</f>
        <v/>
      </c>
      <c r="E778" s="7">
        <f>IF(D778="","",MAX($D$2:D778))</f>
        <v/>
      </c>
      <c r="F778" s="7">
        <f>IF(OR(E778="",D778=""),"",E778-D778)</f>
        <v/>
      </c>
      <c r="G778" s="8">
        <f>IF(OR(E778="",F778="",E778=0),"",F778/E778)</f>
        <v/>
      </c>
      <c r="H778" s="7" t="n"/>
      <c r="I778" s="7">
        <f>IF(OR(H778="",F778=""),"",H778-F778)</f>
        <v/>
      </c>
      <c r="J778">
        <f>IF(I778="","",IF(I778&lt;=0,"BREACH",IF(I778&lt;=500,"WARNING","OK")))</f>
        <v/>
      </c>
    </row>
    <row r="779">
      <c r="B779" s="7" t="n"/>
      <c r="C779" s="7" t="n"/>
      <c r="D779" s="7">
        <f>IF(OR(B779="",C779=""),"",B779+C779)</f>
        <v/>
      </c>
      <c r="E779" s="7">
        <f>IF(D779="","",MAX($D$2:D779))</f>
        <v/>
      </c>
      <c r="F779" s="7">
        <f>IF(OR(E779="",D779=""),"",E779-D779)</f>
        <v/>
      </c>
      <c r="G779" s="8">
        <f>IF(OR(E779="",F779="",E779=0),"",F779/E779)</f>
        <v/>
      </c>
      <c r="H779" s="7" t="n"/>
      <c r="I779" s="7">
        <f>IF(OR(H779="",F779=""),"",H779-F779)</f>
        <v/>
      </c>
      <c r="J779">
        <f>IF(I779="","",IF(I779&lt;=0,"BREACH",IF(I779&lt;=500,"WARNING","OK")))</f>
        <v/>
      </c>
    </row>
    <row r="780">
      <c r="B780" s="7" t="n"/>
      <c r="C780" s="7" t="n"/>
      <c r="D780" s="7">
        <f>IF(OR(B780="",C780=""),"",B780+C780)</f>
        <v/>
      </c>
      <c r="E780" s="7">
        <f>IF(D780="","",MAX($D$2:D780))</f>
        <v/>
      </c>
      <c r="F780" s="7">
        <f>IF(OR(E780="",D780=""),"",E780-D780)</f>
        <v/>
      </c>
      <c r="G780" s="8">
        <f>IF(OR(E780="",F780="",E780=0),"",F780/E780)</f>
        <v/>
      </c>
      <c r="H780" s="7" t="n"/>
      <c r="I780" s="7">
        <f>IF(OR(H780="",F780=""),"",H780-F780)</f>
        <v/>
      </c>
      <c r="J780">
        <f>IF(I780="","",IF(I780&lt;=0,"BREACH",IF(I780&lt;=500,"WARNING","OK")))</f>
        <v/>
      </c>
    </row>
    <row r="781">
      <c r="B781" s="7" t="n"/>
      <c r="C781" s="7" t="n"/>
      <c r="D781" s="7">
        <f>IF(OR(B781="",C781=""),"",B781+C781)</f>
        <v/>
      </c>
      <c r="E781" s="7">
        <f>IF(D781="","",MAX($D$2:D781))</f>
        <v/>
      </c>
      <c r="F781" s="7">
        <f>IF(OR(E781="",D781=""),"",E781-D781)</f>
        <v/>
      </c>
      <c r="G781" s="8">
        <f>IF(OR(E781="",F781="",E781=0),"",F781/E781)</f>
        <v/>
      </c>
      <c r="H781" s="7" t="n"/>
      <c r="I781" s="7">
        <f>IF(OR(H781="",F781=""),"",H781-F781)</f>
        <v/>
      </c>
      <c r="J781">
        <f>IF(I781="","",IF(I781&lt;=0,"BREACH",IF(I781&lt;=500,"WARNING","OK")))</f>
        <v/>
      </c>
    </row>
    <row r="782">
      <c r="B782" s="7" t="n"/>
      <c r="C782" s="7" t="n"/>
      <c r="D782" s="7">
        <f>IF(OR(B782="",C782=""),"",B782+C782)</f>
        <v/>
      </c>
      <c r="E782" s="7">
        <f>IF(D782="","",MAX($D$2:D782))</f>
        <v/>
      </c>
      <c r="F782" s="7">
        <f>IF(OR(E782="",D782=""),"",E782-D782)</f>
        <v/>
      </c>
      <c r="G782" s="8">
        <f>IF(OR(E782="",F782="",E782=0),"",F782/E782)</f>
        <v/>
      </c>
      <c r="H782" s="7" t="n"/>
      <c r="I782" s="7">
        <f>IF(OR(H782="",F782=""),"",H782-F782)</f>
        <v/>
      </c>
      <c r="J782">
        <f>IF(I782="","",IF(I782&lt;=0,"BREACH",IF(I782&lt;=500,"WARNING","OK")))</f>
        <v/>
      </c>
    </row>
    <row r="783">
      <c r="B783" s="7" t="n"/>
      <c r="C783" s="7" t="n"/>
      <c r="D783" s="7">
        <f>IF(OR(B783="",C783=""),"",B783+C783)</f>
        <v/>
      </c>
      <c r="E783" s="7">
        <f>IF(D783="","",MAX($D$2:D783))</f>
        <v/>
      </c>
      <c r="F783" s="7">
        <f>IF(OR(E783="",D783=""),"",E783-D783)</f>
        <v/>
      </c>
      <c r="G783" s="8">
        <f>IF(OR(E783="",F783="",E783=0),"",F783/E783)</f>
        <v/>
      </c>
      <c r="H783" s="7" t="n"/>
      <c r="I783" s="7">
        <f>IF(OR(H783="",F783=""),"",H783-F783)</f>
        <v/>
      </c>
      <c r="J783">
        <f>IF(I783="","",IF(I783&lt;=0,"BREACH",IF(I783&lt;=500,"WARNING","OK")))</f>
        <v/>
      </c>
    </row>
    <row r="784">
      <c r="B784" s="7" t="n"/>
      <c r="C784" s="7" t="n"/>
      <c r="D784" s="7">
        <f>IF(OR(B784="",C784=""),"",B784+C784)</f>
        <v/>
      </c>
      <c r="E784" s="7">
        <f>IF(D784="","",MAX($D$2:D784))</f>
        <v/>
      </c>
      <c r="F784" s="7">
        <f>IF(OR(E784="",D784=""),"",E784-D784)</f>
        <v/>
      </c>
      <c r="G784" s="8">
        <f>IF(OR(E784="",F784="",E784=0),"",F784/E784)</f>
        <v/>
      </c>
      <c r="H784" s="7" t="n"/>
      <c r="I784" s="7">
        <f>IF(OR(H784="",F784=""),"",H784-F784)</f>
        <v/>
      </c>
      <c r="J784">
        <f>IF(I784="","",IF(I784&lt;=0,"BREACH",IF(I784&lt;=500,"WARNING","OK")))</f>
        <v/>
      </c>
    </row>
    <row r="785">
      <c r="B785" s="7" t="n"/>
      <c r="C785" s="7" t="n"/>
      <c r="D785" s="7">
        <f>IF(OR(B785="",C785=""),"",B785+C785)</f>
        <v/>
      </c>
      <c r="E785" s="7">
        <f>IF(D785="","",MAX($D$2:D785))</f>
        <v/>
      </c>
      <c r="F785" s="7">
        <f>IF(OR(E785="",D785=""),"",E785-D785)</f>
        <v/>
      </c>
      <c r="G785" s="8">
        <f>IF(OR(E785="",F785="",E785=0),"",F785/E785)</f>
        <v/>
      </c>
      <c r="H785" s="7" t="n"/>
      <c r="I785" s="7">
        <f>IF(OR(H785="",F785=""),"",H785-F785)</f>
        <v/>
      </c>
      <c r="J785">
        <f>IF(I785="","",IF(I785&lt;=0,"BREACH",IF(I785&lt;=500,"WARNING","OK")))</f>
        <v/>
      </c>
    </row>
    <row r="786">
      <c r="B786" s="7" t="n"/>
      <c r="C786" s="7" t="n"/>
      <c r="D786" s="7">
        <f>IF(OR(B786="",C786=""),"",B786+C786)</f>
        <v/>
      </c>
      <c r="E786" s="7">
        <f>IF(D786="","",MAX($D$2:D786))</f>
        <v/>
      </c>
      <c r="F786" s="7">
        <f>IF(OR(E786="",D786=""),"",E786-D786)</f>
        <v/>
      </c>
      <c r="G786" s="8">
        <f>IF(OR(E786="",F786="",E786=0),"",F786/E786)</f>
        <v/>
      </c>
      <c r="H786" s="7" t="n"/>
      <c r="I786" s="7">
        <f>IF(OR(H786="",F786=""),"",H786-F786)</f>
        <v/>
      </c>
      <c r="J786">
        <f>IF(I786="","",IF(I786&lt;=0,"BREACH",IF(I786&lt;=500,"WARNING","OK")))</f>
        <v/>
      </c>
    </row>
    <row r="787">
      <c r="B787" s="7" t="n"/>
      <c r="C787" s="7" t="n"/>
      <c r="D787" s="7">
        <f>IF(OR(B787="",C787=""),"",B787+C787)</f>
        <v/>
      </c>
      <c r="E787" s="7">
        <f>IF(D787="","",MAX($D$2:D787))</f>
        <v/>
      </c>
      <c r="F787" s="7">
        <f>IF(OR(E787="",D787=""),"",E787-D787)</f>
        <v/>
      </c>
      <c r="G787" s="8">
        <f>IF(OR(E787="",F787="",E787=0),"",F787/E787)</f>
        <v/>
      </c>
      <c r="H787" s="7" t="n"/>
      <c r="I787" s="7">
        <f>IF(OR(H787="",F787=""),"",H787-F787)</f>
        <v/>
      </c>
      <c r="J787">
        <f>IF(I787="","",IF(I787&lt;=0,"BREACH",IF(I787&lt;=500,"WARNING","OK")))</f>
        <v/>
      </c>
    </row>
    <row r="788">
      <c r="B788" s="7" t="n"/>
      <c r="C788" s="7" t="n"/>
      <c r="D788" s="7">
        <f>IF(OR(B788="",C788=""),"",B788+C788)</f>
        <v/>
      </c>
      <c r="E788" s="7">
        <f>IF(D788="","",MAX($D$2:D788))</f>
        <v/>
      </c>
      <c r="F788" s="7">
        <f>IF(OR(E788="",D788=""),"",E788-D788)</f>
        <v/>
      </c>
      <c r="G788" s="8">
        <f>IF(OR(E788="",F788="",E788=0),"",F788/E788)</f>
        <v/>
      </c>
      <c r="H788" s="7" t="n"/>
      <c r="I788" s="7">
        <f>IF(OR(H788="",F788=""),"",H788-F788)</f>
        <v/>
      </c>
      <c r="J788">
        <f>IF(I788="","",IF(I788&lt;=0,"BREACH",IF(I788&lt;=500,"WARNING","OK")))</f>
        <v/>
      </c>
    </row>
    <row r="789">
      <c r="B789" s="7" t="n"/>
      <c r="C789" s="7" t="n"/>
      <c r="D789" s="7">
        <f>IF(OR(B789="",C789=""),"",B789+C789)</f>
        <v/>
      </c>
      <c r="E789" s="7">
        <f>IF(D789="","",MAX($D$2:D789))</f>
        <v/>
      </c>
      <c r="F789" s="7">
        <f>IF(OR(E789="",D789=""),"",E789-D789)</f>
        <v/>
      </c>
      <c r="G789" s="8">
        <f>IF(OR(E789="",F789="",E789=0),"",F789/E789)</f>
        <v/>
      </c>
      <c r="H789" s="7" t="n"/>
      <c r="I789" s="7">
        <f>IF(OR(H789="",F789=""),"",H789-F789)</f>
        <v/>
      </c>
      <c r="J789">
        <f>IF(I789="","",IF(I789&lt;=0,"BREACH",IF(I789&lt;=500,"WARNING","OK")))</f>
        <v/>
      </c>
    </row>
    <row r="790">
      <c r="B790" s="7" t="n"/>
      <c r="C790" s="7" t="n"/>
      <c r="D790" s="7">
        <f>IF(OR(B790="",C790=""),"",B790+C790)</f>
        <v/>
      </c>
      <c r="E790" s="7">
        <f>IF(D790="","",MAX($D$2:D790))</f>
        <v/>
      </c>
      <c r="F790" s="7">
        <f>IF(OR(E790="",D790=""),"",E790-D790)</f>
        <v/>
      </c>
      <c r="G790" s="8">
        <f>IF(OR(E790="",F790="",E790=0),"",F790/E790)</f>
        <v/>
      </c>
      <c r="H790" s="7" t="n"/>
      <c r="I790" s="7">
        <f>IF(OR(H790="",F790=""),"",H790-F790)</f>
        <v/>
      </c>
      <c r="J790">
        <f>IF(I790="","",IF(I790&lt;=0,"BREACH",IF(I790&lt;=500,"WARNING","OK")))</f>
        <v/>
      </c>
    </row>
    <row r="791">
      <c r="B791" s="7" t="n"/>
      <c r="C791" s="7" t="n"/>
      <c r="D791" s="7">
        <f>IF(OR(B791="",C791=""),"",B791+C791)</f>
        <v/>
      </c>
      <c r="E791" s="7">
        <f>IF(D791="","",MAX($D$2:D791))</f>
        <v/>
      </c>
      <c r="F791" s="7">
        <f>IF(OR(E791="",D791=""),"",E791-D791)</f>
        <v/>
      </c>
      <c r="G791" s="8">
        <f>IF(OR(E791="",F791="",E791=0),"",F791/E791)</f>
        <v/>
      </c>
      <c r="H791" s="7" t="n"/>
      <c r="I791" s="7">
        <f>IF(OR(H791="",F791=""),"",H791-F791)</f>
        <v/>
      </c>
      <c r="J791">
        <f>IF(I791="","",IF(I791&lt;=0,"BREACH",IF(I791&lt;=500,"WARNING","OK")))</f>
        <v/>
      </c>
    </row>
    <row r="792">
      <c r="B792" s="7" t="n"/>
      <c r="C792" s="7" t="n"/>
      <c r="D792" s="7">
        <f>IF(OR(B792="",C792=""),"",B792+C792)</f>
        <v/>
      </c>
      <c r="E792" s="7">
        <f>IF(D792="","",MAX($D$2:D792))</f>
        <v/>
      </c>
      <c r="F792" s="7">
        <f>IF(OR(E792="",D792=""),"",E792-D792)</f>
        <v/>
      </c>
      <c r="G792" s="8">
        <f>IF(OR(E792="",F792="",E792=0),"",F792/E792)</f>
        <v/>
      </c>
      <c r="H792" s="7" t="n"/>
      <c r="I792" s="7">
        <f>IF(OR(H792="",F792=""),"",H792-F792)</f>
        <v/>
      </c>
      <c r="J792">
        <f>IF(I792="","",IF(I792&lt;=0,"BREACH",IF(I792&lt;=500,"WARNING","OK")))</f>
        <v/>
      </c>
    </row>
    <row r="793">
      <c r="B793" s="7" t="n"/>
      <c r="C793" s="7" t="n"/>
      <c r="D793" s="7">
        <f>IF(OR(B793="",C793=""),"",B793+C793)</f>
        <v/>
      </c>
      <c r="E793" s="7">
        <f>IF(D793="","",MAX($D$2:D793))</f>
        <v/>
      </c>
      <c r="F793" s="7">
        <f>IF(OR(E793="",D793=""),"",E793-D793)</f>
        <v/>
      </c>
      <c r="G793" s="8">
        <f>IF(OR(E793="",F793="",E793=0),"",F793/E793)</f>
        <v/>
      </c>
      <c r="H793" s="7" t="n"/>
      <c r="I793" s="7">
        <f>IF(OR(H793="",F793=""),"",H793-F793)</f>
        <v/>
      </c>
      <c r="J793">
        <f>IF(I793="","",IF(I793&lt;=0,"BREACH",IF(I793&lt;=500,"WARNING","OK")))</f>
        <v/>
      </c>
    </row>
    <row r="794">
      <c r="B794" s="7" t="n"/>
      <c r="C794" s="7" t="n"/>
      <c r="D794" s="7">
        <f>IF(OR(B794="",C794=""),"",B794+C794)</f>
        <v/>
      </c>
      <c r="E794" s="7">
        <f>IF(D794="","",MAX($D$2:D794))</f>
        <v/>
      </c>
      <c r="F794" s="7">
        <f>IF(OR(E794="",D794=""),"",E794-D794)</f>
        <v/>
      </c>
      <c r="G794" s="8">
        <f>IF(OR(E794="",F794="",E794=0),"",F794/E794)</f>
        <v/>
      </c>
      <c r="H794" s="7" t="n"/>
      <c r="I794" s="7">
        <f>IF(OR(H794="",F794=""),"",H794-F794)</f>
        <v/>
      </c>
      <c r="J794">
        <f>IF(I794="","",IF(I794&lt;=0,"BREACH",IF(I794&lt;=500,"WARNING","OK")))</f>
        <v/>
      </c>
    </row>
    <row r="795">
      <c r="B795" s="7" t="n"/>
      <c r="C795" s="7" t="n"/>
      <c r="D795" s="7">
        <f>IF(OR(B795="",C795=""),"",B795+C795)</f>
        <v/>
      </c>
      <c r="E795" s="7">
        <f>IF(D795="","",MAX($D$2:D795))</f>
        <v/>
      </c>
      <c r="F795" s="7">
        <f>IF(OR(E795="",D795=""),"",E795-D795)</f>
        <v/>
      </c>
      <c r="G795" s="8">
        <f>IF(OR(E795="",F795="",E795=0),"",F795/E795)</f>
        <v/>
      </c>
      <c r="H795" s="7" t="n"/>
      <c r="I795" s="7">
        <f>IF(OR(H795="",F795=""),"",H795-F795)</f>
        <v/>
      </c>
      <c r="J795">
        <f>IF(I795="","",IF(I795&lt;=0,"BREACH",IF(I795&lt;=500,"WARNING","OK")))</f>
        <v/>
      </c>
    </row>
    <row r="796">
      <c r="B796" s="7" t="n"/>
      <c r="C796" s="7" t="n"/>
      <c r="D796" s="7">
        <f>IF(OR(B796="",C796=""),"",B796+C796)</f>
        <v/>
      </c>
      <c r="E796" s="7">
        <f>IF(D796="","",MAX($D$2:D796))</f>
        <v/>
      </c>
      <c r="F796" s="7">
        <f>IF(OR(E796="",D796=""),"",E796-D796)</f>
        <v/>
      </c>
      <c r="G796" s="8">
        <f>IF(OR(E796="",F796="",E796=0),"",F796/E796)</f>
        <v/>
      </c>
      <c r="H796" s="7" t="n"/>
      <c r="I796" s="7">
        <f>IF(OR(H796="",F796=""),"",H796-F796)</f>
        <v/>
      </c>
      <c r="J796">
        <f>IF(I796="","",IF(I796&lt;=0,"BREACH",IF(I796&lt;=500,"WARNING","OK")))</f>
        <v/>
      </c>
    </row>
    <row r="797">
      <c r="B797" s="7" t="n"/>
      <c r="C797" s="7" t="n"/>
      <c r="D797" s="7">
        <f>IF(OR(B797="",C797=""),"",B797+C797)</f>
        <v/>
      </c>
      <c r="E797" s="7">
        <f>IF(D797="","",MAX($D$2:D797))</f>
        <v/>
      </c>
      <c r="F797" s="7">
        <f>IF(OR(E797="",D797=""),"",E797-D797)</f>
        <v/>
      </c>
      <c r="G797" s="8">
        <f>IF(OR(E797="",F797="",E797=0),"",F797/E797)</f>
        <v/>
      </c>
      <c r="H797" s="7" t="n"/>
      <c r="I797" s="7">
        <f>IF(OR(H797="",F797=""),"",H797-F797)</f>
        <v/>
      </c>
      <c r="J797">
        <f>IF(I797="","",IF(I797&lt;=0,"BREACH",IF(I797&lt;=500,"WARNING","OK")))</f>
        <v/>
      </c>
    </row>
    <row r="798">
      <c r="B798" s="7" t="n"/>
      <c r="C798" s="7" t="n"/>
      <c r="D798" s="7">
        <f>IF(OR(B798="",C798=""),"",B798+C798)</f>
        <v/>
      </c>
      <c r="E798" s="7">
        <f>IF(D798="","",MAX($D$2:D798))</f>
        <v/>
      </c>
      <c r="F798" s="7">
        <f>IF(OR(E798="",D798=""),"",E798-D798)</f>
        <v/>
      </c>
      <c r="G798" s="8">
        <f>IF(OR(E798="",F798="",E798=0),"",F798/E798)</f>
        <v/>
      </c>
      <c r="H798" s="7" t="n"/>
      <c r="I798" s="7">
        <f>IF(OR(H798="",F798=""),"",H798-F798)</f>
        <v/>
      </c>
      <c r="J798">
        <f>IF(I798="","",IF(I798&lt;=0,"BREACH",IF(I798&lt;=500,"WARNING","OK")))</f>
        <v/>
      </c>
    </row>
    <row r="799">
      <c r="B799" s="7" t="n"/>
      <c r="C799" s="7" t="n"/>
      <c r="D799" s="7">
        <f>IF(OR(B799="",C799=""),"",B799+C799)</f>
        <v/>
      </c>
      <c r="E799" s="7">
        <f>IF(D799="","",MAX($D$2:D799))</f>
        <v/>
      </c>
      <c r="F799" s="7">
        <f>IF(OR(E799="",D799=""),"",E799-D799)</f>
        <v/>
      </c>
      <c r="G799" s="8">
        <f>IF(OR(E799="",F799="",E799=0),"",F799/E799)</f>
        <v/>
      </c>
      <c r="H799" s="7" t="n"/>
      <c r="I799" s="7">
        <f>IF(OR(H799="",F799=""),"",H799-F799)</f>
        <v/>
      </c>
      <c r="J799">
        <f>IF(I799="","",IF(I799&lt;=0,"BREACH",IF(I799&lt;=500,"WARNING","OK")))</f>
        <v/>
      </c>
    </row>
    <row r="800">
      <c r="B800" s="7" t="n"/>
      <c r="C800" s="7" t="n"/>
      <c r="D800" s="7">
        <f>IF(OR(B800="",C800=""),"",B800+C800)</f>
        <v/>
      </c>
      <c r="E800" s="7">
        <f>IF(D800="","",MAX($D$2:D800))</f>
        <v/>
      </c>
      <c r="F800" s="7">
        <f>IF(OR(E800="",D800=""),"",E800-D800)</f>
        <v/>
      </c>
      <c r="G800" s="8">
        <f>IF(OR(E800="",F800="",E800=0),"",F800/E800)</f>
        <v/>
      </c>
      <c r="H800" s="7" t="n"/>
      <c r="I800" s="7">
        <f>IF(OR(H800="",F800=""),"",H800-F800)</f>
        <v/>
      </c>
      <c r="J800">
        <f>IF(I800="","",IF(I800&lt;=0,"BREACH",IF(I800&lt;=500,"WARNING","OK")))</f>
        <v/>
      </c>
    </row>
    <row r="801">
      <c r="B801" s="7" t="n"/>
      <c r="C801" s="7" t="n"/>
      <c r="D801" s="7">
        <f>IF(OR(B801="",C801=""),"",B801+C801)</f>
        <v/>
      </c>
      <c r="E801" s="7">
        <f>IF(D801="","",MAX($D$2:D801))</f>
        <v/>
      </c>
      <c r="F801" s="7">
        <f>IF(OR(E801="",D801=""),"",E801-D801)</f>
        <v/>
      </c>
      <c r="G801" s="8">
        <f>IF(OR(E801="",F801="",E801=0),"",F801/E801)</f>
        <v/>
      </c>
      <c r="H801" s="7" t="n"/>
      <c r="I801" s="7">
        <f>IF(OR(H801="",F801=""),"",H801-F801)</f>
        <v/>
      </c>
      <c r="J801">
        <f>IF(I801="","",IF(I801&lt;=0,"BREACH",IF(I801&lt;=500,"WARNING","OK")))</f>
        <v/>
      </c>
    </row>
    <row r="802">
      <c r="B802" s="7" t="n"/>
      <c r="C802" s="7" t="n"/>
      <c r="D802" s="7">
        <f>IF(OR(B802="",C802=""),"",B802+C802)</f>
        <v/>
      </c>
      <c r="E802" s="7">
        <f>IF(D802="","",MAX($D$2:D802))</f>
        <v/>
      </c>
      <c r="F802" s="7">
        <f>IF(OR(E802="",D802=""),"",E802-D802)</f>
        <v/>
      </c>
      <c r="G802" s="8">
        <f>IF(OR(E802="",F802="",E802=0),"",F802/E802)</f>
        <v/>
      </c>
      <c r="H802" s="7" t="n"/>
      <c r="I802" s="7">
        <f>IF(OR(H802="",F802=""),"",H802-F802)</f>
        <v/>
      </c>
      <c r="J802">
        <f>IF(I802="","",IF(I802&lt;=0,"BREACH",IF(I802&lt;=500,"WARNING","OK")))</f>
        <v/>
      </c>
    </row>
    <row r="803">
      <c r="B803" s="7" t="n"/>
      <c r="C803" s="7" t="n"/>
      <c r="D803" s="7">
        <f>IF(OR(B803="",C803=""),"",B803+C803)</f>
        <v/>
      </c>
      <c r="E803" s="7">
        <f>IF(D803="","",MAX($D$2:D803))</f>
        <v/>
      </c>
      <c r="F803" s="7">
        <f>IF(OR(E803="",D803=""),"",E803-D803)</f>
        <v/>
      </c>
      <c r="G803" s="8">
        <f>IF(OR(E803="",F803="",E803=0),"",F803/E803)</f>
        <v/>
      </c>
      <c r="H803" s="7" t="n"/>
      <c r="I803" s="7">
        <f>IF(OR(H803="",F803=""),"",H803-F803)</f>
        <v/>
      </c>
      <c r="J803">
        <f>IF(I803="","",IF(I803&lt;=0,"BREACH",IF(I803&lt;=500,"WARNING","OK")))</f>
        <v/>
      </c>
    </row>
    <row r="804">
      <c r="B804" s="7" t="n"/>
      <c r="C804" s="7" t="n"/>
      <c r="D804" s="7">
        <f>IF(OR(B804="",C804=""),"",B804+C804)</f>
        <v/>
      </c>
      <c r="E804" s="7">
        <f>IF(D804="","",MAX($D$2:D804))</f>
        <v/>
      </c>
      <c r="F804" s="7">
        <f>IF(OR(E804="",D804=""),"",E804-D804)</f>
        <v/>
      </c>
      <c r="G804" s="8">
        <f>IF(OR(E804="",F804="",E804=0),"",F804/E804)</f>
        <v/>
      </c>
      <c r="H804" s="7" t="n"/>
      <c r="I804" s="7">
        <f>IF(OR(H804="",F804=""),"",H804-F804)</f>
        <v/>
      </c>
      <c r="J804">
        <f>IF(I804="","",IF(I804&lt;=0,"BREACH",IF(I804&lt;=500,"WARNING","OK")))</f>
        <v/>
      </c>
    </row>
    <row r="805">
      <c r="B805" s="7" t="n"/>
      <c r="C805" s="7" t="n"/>
      <c r="D805" s="7">
        <f>IF(OR(B805="",C805=""),"",B805+C805)</f>
        <v/>
      </c>
      <c r="E805" s="7">
        <f>IF(D805="","",MAX($D$2:D805))</f>
        <v/>
      </c>
      <c r="F805" s="7">
        <f>IF(OR(E805="",D805=""),"",E805-D805)</f>
        <v/>
      </c>
      <c r="G805" s="8">
        <f>IF(OR(E805="",F805="",E805=0),"",F805/E805)</f>
        <v/>
      </c>
      <c r="H805" s="7" t="n"/>
      <c r="I805" s="7">
        <f>IF(OR(H805="",F805=""),"",H805-F805)</f>
        <v/>
      </c>
      <c r="J805">
        <f>IF(I805="","",IF(I805&lt;=0,"BREACH",IF(I805&lt;=500,"WARNING","OK")))</f>
        <v/>
      </c>
    </row>
    <row r="806">
      <c r="B806" s="7" t="n"/>
      <c r="C806" s="7" t="n"/>
      <c r="D806" s="7">
        <f>IF(OR(B806="",C806=""),"",B806+C806)</f>
        <v/>
      </c>
      <c r="E806" s="7">
        <f>IF(D806="","",MAX($D$2:D806))</f>
        <v/>
      </c>
      <c r="F806" s="7">
        <f>IF(OR(E806="",D806=""),"",E806-D806)</f>
        <v/>
      </c>
      <c r="G806" s="8">
        <f>IF(OR(E806="",F806="",E806=0),"",F806/E806)</f>
        <v/>
      </c>
      <c r="H806" s="7" t="n"/>
      <c r="I806" s="7">
        <f>IF(OR(H806="",F806=""),"",H806-F806)</f>
        <v/>
      </c>
      <c r="J806">
        <f>IF(I806="","",IF(I806&lt;=0,"BREACH",IF(I806&lt;=500,"WARNING","OK")))</f>
        <v/>
      </c>
    </row>
    <row r="807">
      <c r="B807" s="7" t="n"/>
      <c r="C807" s="7" t="n"/>
      <c r="D807" s="7">
        <f>IF(OR(B807="",C807=""),"",B807+C807)</f>
        <v/>
      </c>
      <c r="E807" s="7">
        <f>IF(D807="","",MAX($D$2:D807))</f>
        <v/>
      </c>
      <c r="F807" s="7">
        <f>IF(OR(E807="",D807=""),"",E807-D807)</f>
        <v/>
      </c>
      <c r="G807" s="8">
        <f>IF(OR(E807="",F807="",E807=0),"",F807/E807)</f>
        <v/>
      </c>
      <c r="H807" s="7" t="n"/>
      <c r="I807" s="7">
        <f>IF(OR(H807="",F807=""),"",H807-F807)</f>
        <v/>
      </c>
      <c r="J807">
        <f>IF(I807="","",IF(I807&lt;=0,"BREACH",IF(I807&lt;=500,"WARNING","OK")))</f>
        <v/>
      </c>
    </row>
    <row r="808">
      <c r="B808" s="7" t="n"/>
      <c r="C808" s="7" t="n"/>
      <c r="D808" s="7">
        <f>IF(OR(B808="",C808=""),"",B808+C808)</f>
        <v/>
      </c>
      <c r="E808" s="7">
        <f>IF(D808="","",MAX($D$2:D808))</f>
        <v/>
      </c>
      <c r="F808" s="7">
        <f>IF(OR(E808="",D808=""),"",E808-D808)</f>
        <v/>
      </c>
      <c r="G808" s="8">
        <f>IF(OR(E808="",F808="",E808=0),"",F808/E808)</f>
        <v/>
      </c>
      <c r="H808" s="7" t="n"/>
      <c r="I808" s="7">
        <f>IF(OR(H808="",F808=""),"",H808-F808)</f>
        <v/>
      </c>
      <c r="J808">
        <f>IF(I808="","",IF(I808&lt;=0,"BREACH",IF(I808&lt;=500,"WARNING","OK")))</f>
        <v/>
      </c>
    </row>
    <row r="809">
      <c r="B809" s="7" t="n"/>
      <c r="C809" s="7" t="n"/>
      <c r="D809" s="7">
        <f>IF(OR(B809="",C809=""),"",B809+C809)</f>
        <v/>
      </c>
      <c r="E809" s="7">
        <f>IF(D809="","",MAX($D$2:D809))</f>
        <v/>
      </c>
      <c r="F809" s="7">
        <f>IF(OR(E809="",D809=""),"",E809-D809)</f>
        <v/>
      </c>
      <c r="G809" s="8">
        <f>IF(OR(E809="",F809="",E809=0),"",F809/E809)</f>
        <v/>
      </c>
      <c r="H809" s="7" t="n"/>
      <c r="I809" s="7">
        <f>IF(OR(H809="",F809=""),"",H809-F809)</f>
        <v/>
      </c>
      <c r="J809">
        <f>IF(I809="","",IF(I809&lt;=0,"BREACH",IF(I809&lt;=500,"WARNING","OK")))</f>
        <v/>
      </c>
    </row>
    <row r="810">
      <c r="B810" s="7" t="n"/>
      <c r="C810" s="7" t="n"/>
      <c r="D810" s="7">
        <f>IF(OR(B810="",C810=""),"",B810+C810)</f>
        <v/>
      </c>
      <c r="E810" s="7">
        <f>IF(D810="","",MAX($D$2:D810))</f>
        <v/>
      </c>
      <c r="F810" s="7">
        <f>IF(OR(E810="",D810=""),"",E810-D810)</f>
        <v/>
      </c>
      <c r="G810" s="8">
        <f>IF(OR(E810="",F810="",E810=0),"",F810/E810)</f>
        <v/>
      </c>
      <c r="H810" s="7" t="n"/>
      <c r="I810" s="7">
        <f>IF(OR(H810="",F810=""),"",H810-F810)</f>
        <v/>
      </c>
      <c r="J810">
        <f>IF(I810="","",IF(I810&lt;=0,"BREACH",IF(I810&lt;=500,"WARNING","OK")))</f>
        <v/>
      </c>
    </row>
    <row r="811">
      <c r="B811" s="7" t="n"/>
      <c r="C811" s="7" t="n"/>
      <c r="D811" s="7">
        <f>IF(OR(B811="",C811=""),"",B811+C811)</f>
        <v/>
      </c>
      <c r="E811" s="7">
        <f>IF(D811="","",MAX($D$2:D811))</f>
        <v/>
      </c>
      <c r="F811" s="7">
        <f>IF(OR(E811="",D811=""),"",E811-D811)</f>
        <v/>
      </c>
      <c r="G811" s="8">
        <f>IF(OR(E811="",F811="",E811=0),"",F811/E811)</f>
        <v/>
      </c>
      <c r="H811" s="7" t="n"/>
      <c r="I811" s="7">
        <f>IF(OR(H811="",F811=""),"",H811-F811)</f>
        <v/>
      </c>
      <c r="J811">
        <f>IF(I811="","",IF(I811&lt;=0,"BREACH",IF(I811&lt;=500,"WARNING","OK")))</f>
        <v/>
      </c>
    </row>
    <row r="812">
      <c r="B812" s="7" t="n"/>
      <c r="C812" s="7" t="n"/>
      <c r="D812" s="7">
        <f>IF(OR(B812="",C812=""),"",B812+C812)</f>
        <v/>
      </c>
      <c r="E812" s="7">
        <f>IF(D812="","",MAX($D$2:D812))</f>
        <v/>
      </c>
      <c r="F812" s="7">
        <f>IF(OR(E812="",D812=""),"",E812-D812)</f>
        <v/>
      </c>
      <c r="G812" s="8">
        <f>IF(OR(E812="",F812="",E812=0),"",F812/E812)</f>
        <v/>
      </c>
      <c r="H812" s="7" t="n"/>
      <c r="I812" s="7">
        <f>IF(OR(H812="",F812=""),"",H812-F812)</f>
        <v/>
      </c>
      <c r="J812">
        <f>IF(I812="","",IF(I812&lt;=0,"BREACH",IF(I812&lt;=500,"WARNING","OK")))</f>
        <v/>
      </c>
    </row>
    <row r="813">
      <c r="B813" s="7" t="n"/>
      <c r="C813" s="7" t="n"/>
      <c r="D813" s="7">
        <f>IF(OR(B813="",C813=""),"",B813+C813)</f>
        <v/>
      </c>
      <c r="E813" s="7">
        <f>IF(D813="","",MAX($D$2:D813))</f>
        <v/>
      </c>
      <c r="F813" s="7">
        <f>IF(OR(E813="",D813=""),"",E813-D813)</f>
        <v/>
      </c>
      <c r="G813" s="8">
        <f>IF(OR(E813="",F813="",E813=0),"",F813/E813)</f>
        <v/>
      </c>
      <c r="H813" s="7" t="n"/>
      <c r="I813" s="7">
        <f>IF(OR(H813="",F813=""),"",H813-F813)</f>
        <v/>
      </c>
      <c r="J813">
        <f>IF(I813="","",IF(I813&lt;=0,"BREACH",IF(I813&lt;=500,"WARNING","OK")))</f>
        <v/>
      </c>
    </row>
    <row r="814">
      <c r="B814" s="7" t="n"/>
      <c r="C814" s="7" t="n"/>
      <c r="D814" s="7">
        <f>IF(OR(B814="",C814=""),"",B814+C814)</f>
        <v/>
      </c>
      <c r="E814" s="7">
        <f>IF(D814="","",MAX($D$2:D814))</f>
        <v/>
      </c>
      <c r="F814" s="7">
        <f>IF(OR(E814="",D814=""),"",E814-D814)</f>
        <v/>
      </c>
      <c r="G814" s="8">
        <f>IF(OR(E814="",F814="",E814=0),"",F814/E814)</f>
        <v/>
      </c>
      <c r="H814" s="7" t="n"/>
      <c r="I814" s="7">
        <f>IF(OR(H814="",F814=""),"",H814-F814)</f>
        <v/>
      </c>
      <c r="J814">
        <f>IF(I814="","",IF(I814&lt;=0,"BREACH",IF(I814&lt;=500,"WARNING","OK")))</f>
        <v/>
      </c>
    </row>
    <row r="815">
      <c r="B815" s="7" t="n"/>
      <c r="C815" s="7" t="n"/>
      <c r="D815" s="7">
        <f>IF(OR(B815="",C815=""),"",B815+C815)</f>
        <v/>
      </c>
      <c r="E815" s="7">
        <f>IF(D815="","",MAX($D$2:D815))</f>
        <v/>
      </c>
      <c r="F815" s="7">
        <f>IF(OR(E815="",D815=""),"",E815-D815)</f>
        <v/>
      </c>
      <c r="G815" s="8">
        <f>IF(OR(E815="",F815="",E815=0),"",F815/E815)</f>
        <v/>
      </c>
      <c r="H815" s="7" t="n"/>
      <c r="I815" s="7">
        <f>IF(OR(H815="",F815=""),"",H815-F815)</f>
        <v/>
      </c>
      <c r="J815">
        <f>IF(I815="","",IF(I815&lt;=0,"BREACH",IF(I815&lt;=500,"WARNING","OK")))</f>
        <v/>
      </c>
    </row>
    <row r="816">
      <c r="B816" s="7" t="n"/>
      <c r="C816" s="7" t="n"/>
      <c r="D816" s="7">
        <f>IF(OR(B816="",C816=""),"",B816+C816)</f>
        <v/>
      </c>
      <c r="E816" s="7">
        <f>IF(D816="","",MAX($D$2:D816))</f>
        <v/>
      </c>
      <c r="F816" s="7">
        <f>IF(OR(E816="",D816=""),"",E816-D816)</f>
        <v/>
      </c>
      <c r="G816" s="8">
        <f>IF(OR(E816="",F816="",E816=0),"",F816/E816)</f>
        <v/>
      </c>
      <c r="H816" s="7" t="n"/>
      <c r="I816" s="7">
        <f>IF(OR(H816="",F816=""),"",H816-F816)</f>
        <v/>
      </c>
      <c r="J816">
        <f>IF(I816="","",IF(I816&lt;=0,"BREACH",IF(I816&lt;=500,"WARNING","OK")))</f>
        <v/>
      </c>
    </row>
    <row r="817">
      <c r="B817" s="7" t="n"/>
      <c r="C817" s="7" t="n"/>
      <c r="D817" s="7">
        <f>IF(OR(B817="",C817=""),"",B817+C817)</f>
        <v/>
      </c>
      <c r="E817" s="7">
        <f>IF(D817="","",MAX($D$2:D817))</f>
        <v/>
      </c>
      <c r="F817" s="7">
        <f>IF(OR(E817="",D817=""),"",E817-D817)</f>
        <v/>
      </c>
      <c r="G817" s="8">
        <f>IF(OR(E817="",F817="",E817=0),"",F817/E817)</f>
        <v/>
      </c>
      <c r="H817" s="7" t="n"/>
      <c r="I817" s="7">
        <f>IF(OR(H817="",F817=""),"",H817-F817)</f>
        <v/>
      </c>
      <c r="J817">
        <f>IF(I817="","",IF(I817&lt;=0,"BREACH",IF(I817&lt;=500,"WARNING","OK")))</f>
        <v/>
      </c>
    </row>
    <row r="818">
      <c r="B818" s="7" t="n"/>
      <c r="C818" s="7" t="n"/>
      <c r="D818" s="7">
        <f>IF(OR(B818="",C818=""),"",B818+C818)</f>
        <v/>
      </c>
      <c r="E818" s="7">
        <f>IF(D818="","",MAX($D$2:D818))</f>
        <v/>
      </c>
      <c r="F818" s="7">
        <f>IF(OR(E818="",D818=""),"",E818-D818)</f>
        <v/>
      </c>
      <c r="G818" s="8">
        <f>IF(OR(E818="",F818="",E818=0),"",F818/E818)</f>
        <v/>
      </c>
      <c r="H818" s="7" t="n"/>
      <c r="I818" s="7">
        <f>IF(OR(H818="",F818=""),"",H818-F818)</f>
        <v/>
      </c>
      <c r="J818">
        <f>IF(I818="","",IF(I818&lt;=0,"BREACH",IF(I818&lt;=500,"WARNING","OK")))</f>
        <v/>
      </c>
    </row>
    <row r="819">
      <c r="B819" s="7" t="n"/>
      <c r="C819" s="7" t="n"/>
      <c r="D819" s="7">
        <f>IF(OR(B819="",C819=""),"",B819+C819)</f>
        <v/>
      </c>
      <c r="E819" s="7">
        <f>IF(D819="","",MAX($D$2:D819))</f>
        <v/>
      </c>
      <c r="F819" s="7">
        <f>IF(OR(E819="",D819=""),"",E819-D819)</f>
        <v/>
      </c>
      <c r="G819" s="8">
        <f>IF(OR(E819="",F819="",E819=0),"",F819/E819)</f>
        <v/>
      </c>
      <c r="H819" s="7" t="n"/>
      <c r="I819" s="7">
        <f>IF(OR(H819="",F819=""),"",H819-F819)</f>
        <v/>
      </c>
      <c r="J819">
        <f>IF(I819="","",IF(I819&lt;=0,"BREACH",IF(I819&lt;=500,"WARNING","OK")))</f>
        <v/>
      </c>
    </row>
    <row r="820">
      <c r="B820" s="7" t="n"/>
      <c r="C820" s="7" t="n"/>
      <c r="D820" s="7">
        <f>IF(OR(B820="",C820=""),"",B820+C820)</f>
        <v/>
      </c>
      <c r="E820" s="7">
        <f>IF(D820="","",MAX($D$2:D820))</f>
        <v/>
      </c>
      <c r="F820" s="7">
        <f>IF(OR(E820="",D820=""),"",E820-D820)</f>
        <v/>
      </c>
      <c r="G820" s="8">
        <f>IF(OR(E820="",F820="",E820=0),"",F820/E820)</f>
        <v/>
      </c>
      <c r="H820" s="7" t="n"/>
      <c r="I820" s="7">
        <f>IF(OR(H820="",F820=""),"",H820-F820)</f>
        <v/>
      </c>
      <c r="J820">
        <f>IF(I820="","",IF(I820&lt;=0,"BREACH",IF(I820&lt;=500,"WARNING","OK")))</f>
        <v/>
      </c>
    </row>
    <row r="821">
      <c r="B821" s="7" t="n"/>
      <c r="C821" s="7" t="n"/>
      <c r="D821" s="7">
        <f>IF(OR(B821="",C821=""),"",B821+C821)</f>
        <v/>
      </c>
      <c r="E821" s="7">
        <f>IF(D821="","",MAX($D$2:D821))</f>
        <v/>
      </c>
      <c r="F821" s="7">
        <f>IF(OR(E821="",D821=""),"",E821-D821)</f>
        <v/>
      </c>
      <c r="G821" s="8">
        <f>IF(OR(E821="",F821="",E821=0),"",F821/E821)</f>
        <v/>
      </c>
      <c r="H821" s="7" t="n"/>
      <c r="I821" s="7">
        <f>IF(OR(H821="",F821=""),"",H821-F821)</f>
        <v/>
      </c>
      <c r="J821">
        <f>IF(I821="","",IF(I821&lt;=0,"BREACH",IF(I821&lt;=500,"WARNING","OK")))</f>
        <v/>
      </c>
    </row>
    <row r="822">
      <c r="B822" s="7" t="n"/>
      <c r="C822" s="7" t="n"/>
      <c r="D822" s="7">
        <f>IF(OR(B822="",C822=""),"",B822+C822)</f>
        <v/>
      </c>
      <c r="E822" s="7">
        <f>IF(D822="","",MAX($D$2:D822))</f>
        <v/>
      </c>
      <c r="F822" s="7">
        <f>IF(OR(E822="",D822=""),"",E822-D822)</f>
        <v/>
      </c>
      <c r="G822" s="8">
        <f>IF(OR(E822="",F822="",E822=0),"",F822/E822)</f>
        <v/>
      </c>
      <c r="H822" s="7" t="n"/>
      <c r="I822" s="7">
        <f>IF(OR(H822="",F822=""),"",H822-F822)</f>
        <v/>
      </c>
      <c r="J822">
        <f>IF(I822="","",IF(I822&lt;=0,"BREACH",IF(I822&lt;=500,"WARNING","OK")))</f>
        <v/>
      </c>
    </row>
    <row r="823">
      <c r="B823" s="7" t="n"/>
      <c r="C823" s="7" t="n"/>
      <c r="D823" s="7">
        <f>IF(OR(B823="",C823=""),"",B823+C823)</f>
        <v/>
      </c>
      <c r="E823" s="7">
        <f>IF(D823="","",MAX($D$2:D823))</f>
        <v/>
      </c>
      <c r="F823" s="7">
        <f>IF(OR(E823="",D823=""),"",E823-D823)</f>
        <v/>
      </c>
      <c r="G823" s="8">
        <f>IF(OR(E823="",F823="",E823=0),"",F823/E823)</f>
        <v/>
      </c>
      <c r="H823" s="7" t="n"/>
      <c r="I823" s="7">
        <f>IF(OR(H823="",F823=""),"",H823-F823)</f>
        <v/>
      </c>
      <c r="J823">
        <f>IF(I823="","",IF(I823&lt;=0,"BREACH",IF(I823&lt;=500,"WARNING","OK")))</f>
        <v/>
      </c>
    </row>
    <row r="824">
      <c r="B824" s="7" t="n"/>
      <c r="C824" s="7" t="n"/>
      <c r="D824" s="7">
        <f>IF(OR(B824="",C824=""),"",B824+C824)</f>
        <v/>
      </c>
      <c r="E824" s="7">
        <f>IF(D824="","",MAX($D$2:D824))</f>
        <v/>
      </c>
      <c r="F824" s="7">
        <f>IF(OR(E824="",D824=""),"",E824-D824)</f>
        <v/>
      </c>
      <c r="G824" s="8">
        <f>IF(OR(E824="",F824="",E824=0),"",F824/E824)</f>
        <v/>
      </c>
      <c r="H824" s="7" t="n"/>
      <c r="I824" s="7">
        <f>IF(OR(H824="",F824=""),"",H824-F824)</f>
        <v/>
      </c>
      <c r="J824">
        <f>IF(I824="","",IF(I824&lt;=0,"BREACH",IF(I824&lt;=500,"WARNING","OK")))</f>
        <v/>
      </c>
    </row>
    <row r="825">
      <c r="B825" s="7" t="n"/>
      <c r="C825" s="7" t="n"/>
      <c r="D825" s="7">
        <f>IF(OR(B825="",C825=""),"",B825+C825)</f>
        <v/>
      </c>
      <c r="E825" s="7">
        <f>IF(D825="","",MAX($D$2:D825))</f>
        <v/>
      </c>
      <c r="F825" s="7">
        <f>IF(OR(E825="",D825=""),"",E825-D825)</f>
        <v/>
      </c>
      <c r="G825" s="8">
        <f>IF(OR(E825="",F825="",E825=0),"",F825/E825)</f>
        <v/>
      </c>
      <c r="H825" s="7" t="n"/>
      <c r="I825" s="7">
        <f>IF(OR(H825="",F825=""),"",H825-F825)</f>
        <v/>
      </c>
      <c r="J825">
        <f>IF(I825="","",IF(I825&lt;=0,"BREACH",IF(I825&lt;=500,"WARNING","OK")))</f>
        <v/>
      </c>
    </row>
    <row r="826">
      <c r="B826" s="7" t="n"/>
      <c r="C826" s="7" t="n"/>
      <c r="D826" s="7">
        <f>IF(OR(B826="",C826=""),"",B826+C826)</f>
        <v/>
      </c>
      <c r="E826" s="7">
        <f>IF(D826="","",MAX($D$2:D826))</f>
        <v/>
      </c>
      <c r="F826" s="7">
        <f>IF(OR(E826="",D826=""),"",E826-D826)</f>
        <v/>
      </c>
      <c r="G826" s="8">
        <f>IF(OR(E826="",F826="",E826=0),"",F826/E826)</f>
        <v/>
      </c>
      <c r="H826" s="7" t="n"/>
      <c r="I826" s="7">
        <f>IF(OR(H826="",F826=""),"",H826-F826)</f>
        <v/>
      </c>
      <c r="J826">
        <f>IF(I826="","",IF(I826&lt;=0,"BREACH",IF(I826&lt;=500,"WARNING","OK")))</f>
        <v/>
      </c>
    </row>
    <row r="827">
      <c r="B827" s="7" t="n"/>
      <c r="C827" s="7" t="n"/>
      <c r="D827" s="7">
        <f>IF(OR(B827="",C827=""),"",B827+C827)</f>
        <v/>
      </c>
      <c r="E827" s="7">
        <f>IF(D827="","",MAX($D$2:D827))</f>
        <v/>
      </c>
      <c r="F827" s="7">
        <f>IF(OR(E827="",D827=""),"",E827-D827)</f>
        <v/>
      </c>
      <c r="G827" s="8">
        <f>IF(OR(E827="",F827="",E827=0),"",F827/E827)</f>
        <v/>
      </c>
      <c r="H827" s="7" t="n"/>
      <c r="I827" s="7">
        <f>IF(OR(H827="",F827=""),"",H827-F827)</f>
        <v/>
      </c>
      <c r="J827">
        <f>IF(I827="","",IF(I827&lt;=0,"BREACH",IF(I827&lt;=500,"WARNING","OK")))</f>
        <v/>
      </c>
    </row>
    <row r="828">
      <c r="B828" s="7" t="n"/>
      <c r="C828" s="7" t="n"/>
      <c r="D828" s="7">
        <f>IF(OR(B828="",C828=""),"",B828+C828)</f>
        <v/>
      </c>
      <c r="E828" s="7">
        <f>IF(D828="","",MAX($D$2:D828))</f>
        <v/>
      </c>
      <c r="F828" s="7">
        <f>IF(OR(E828="",D828=""),"",E828-D828)</f>
        <v/>
      </c>
      <c r="G828" s="8">
        <f>IF(OR(E828="",F828="",E828=0),"",F828/E828)</f>
        <v/>
      </c>
      <c r="H828" s="7" t="n"/>
      <c r="I828" s="7">
        <f>IF(OR(H828="",F828=""),"",H828-F828)</f>
        <v/>
      </c>
      <c r="J828">
        <f>IF(I828="","",IF(I828&lt;=0,"BREACH",IF(I828&lt;=500,"WARNING","OK")))</f>
        <v/>
      </c>
    </row>
    <row r="829">
      <c r="B829" s="7" t="n"/>
      <c r="C829" s="7" t="n"/>
      <c r="D829" s="7">
        <f>IF(OR(B829="",C829=""),"",B829+C829)</f>
        <v/>
      </c>
      <c r="E829" s="7">
        <f>IF(D829="","",MAX($D$2:D829))</f>
        <v/>
      </c>
      <c r="F829" s="7">
        <f>IF(OR(E829="",D829=""),"",E829-D829)</f>
        <v/>
      </c>
      <c r="G829" s="8">
        <f>IF(OR(E829="",F829="",E829=0),"",F829/E829)</f>
        <v/>
      </c>
      <c r="H829" s="7" t="n"/>
      <c r="I829" s="7">
        <f>IF(OR(H829="",F829=""),"",H829-F829)</f>
        <v/>
      </c>
      <c r="J829">
        <f>IF(I829="","",IF(I829&lt;=0,"BREACH",IF(I829&lt;=500,"WARNING","OK")))</f>
        <v/>
      </c>
    </row>
    <row r="830">
      <c r="B830" s="7" t="n"/>
      <c r="C830" s="7" t="n"/>
      <c r="D830" s="7">
        <f>IF(OR(B830="",C830=""),"",B830+C830)</f>
        <v/>
      </c>
      <c r="E830" s="7">
        <f>IF(D830="","",MAX($D$2:D830))</f>
        <v/>
      </c>
      <c r="F830" s="7">
        <f>IF(OR(E830="",D830=""),"",E830-D830)</f>
        <v/>
      </c>
      <c r="G830" s="8">
        <f>IF(OR(E830="",F830="",E830=0),"",F830/E830)</f>
        <v/>
      </c>
      <c r="H830" s="7" t="n"/>
      <c r="I830" s="7">
        <f>IF(OR(H830="",F830=""),"",H830-F830)</f>
        <v/>
      </c>
      <c r="J830">
        <f>IF(I830="","",IF(I830&lt;=0,"BREACH",IF(I830&lt;=500,"WARNING","OK")))</f>
        <v/>
      </c>
    </row>
    <row r="831">
      <c r="B831" s="7" t="n"/>
      <c r="C831" s="7" t="n"/>
      <c r="D831" s="7">
        <f>IF(OR(B831="",C831=""),"",B831+C831)</f>
        <v/>
      </c>
      <c r="E831" s="7">
        <f>IF(D831="","",MAX($D$2:D831))</f>
        <v/>
      </c>
      <c r="F831" s="7">
        <f>IF(OR(E831="",D831=""),"",E831-D831)</f>
        <v/>
      </c>
      <c r="G831" s="8">
        <f>IF(OR(E831="",F831="",E831=0),"",F831/E831)</f>
        <v/>
      </c>
      <c r="H831" s="7" t="n"/>
      <c r="I831" s="7">
        <f>IF(OR(H831="",F831=""),"",H831-F831)</f>
        <v/>
      </c>
      <c r="J831">
        <f>IF(I831="","",IF(I831&lt;=0,"BREACH",IF(I831&lt;=500,"WARNING","OK")))</f>
        <v/>
      </c>
    </row>
    <row r="832">
      <c r="B832" s="7" t="n"/>
      <c r="C832" s="7" t="n"/>
      <c r="D832" s="7">
        <f>IF(OR(B832="",C832=""),"",B832+C832)</f>
        <v/>
      </c>
      <c r="E832" s="7">
        <f>IF(D832="","",MAX($D$2:D832))</f>
        <v/>
      </c>
      <c r="F832" s="7">
        <f>IF(OR(E832="",D832=""),"",E832-D832)</f>
        <v/>
      </c>
      <c r="G832" s="8">
        <f>IF(OR(E832="",F832="",E832=0),"",F832/E832)</f>
        <v/>
      </c>
      <c r="H832" s="7" t="n"/>
      <c r="I832" s="7">
        <f>IF(OR(H832="",F832=""),"",H832-F832)</f>
        <v/>
      </c>
      <c r="J832">
        <f>IF(I832="","",IF(I832&lt;=0,"BREACH",IF(I832&lt;=500,"WARNING","OK")))</f>
        <v/>
      </c>
    </row>
    <row r="833">
      <c r="B833" s="7" t="n"/>
      <c r="C833" s="7" t="n"/>
      <c r="D833" s="7">
        <f>IF(OR(B833="",C833=""),"",B833+C833)</f>
        <v/>
      </c>
      <c r="E833" s="7">
        <f>IF(D833="","",MAX($D$2:D833))</f>
        <v/>
      </c>
      <c r="F833" s="7">
        <f>IF(OR(E833="",D833=""),"",E833-D833)</f>
        <v/>
      </c>
      <c r="G833" s="8">
        <f>IF(OR(E833="",F833="",E833=0),"",F833/E833)</f>
        <v/>
      </c>
      <c r="H833" s="7" t="n"/>
      <c r="I833" s="7">
        <f>IF(OR(H833="",F833=""),"",H833-F833)</f>
        <v/>
      </c>
      <c r="J833">
        <f>IF(I833="","",IF(I833&lt;=0,"BREACH",IF(I833&lt;=500,"WARNING","OK")))</f>
        <v/>
      </c>
    </row>
    <row r="834">
      <c r="B834" s="7" t="n"/>
      <c r="C834" s="7" t="n"/>
      <c r="D834" s="7">
        <f>IF(OR(B834="",C834=""),"",B834+C834)</f>
        <v/>
      </c>
      <c r="E834" s="7">
        <f>IF(D834="","",MAX($D$2:D834))</f>
        <v/>
      </c>
      <c r="F834" s="7">
        <f>IF(OR(E834="",D834=""),"",E834-D834)</f>
        <v/>
      </c>
      <c r="G834" s="8">
        <f>IF(OR(E834="",F834="",E834=0),"",F834/E834)</f>
        <v/>
      </c>
      <c r="H834" s="7" t="n"/>
      <c r="I834" s="7">
        <f>IF(OR(H834="",F834=""),"",H834-F834)</f>
        <v/>
      </c>
      <c r="J834">
        <f>IF(I834="","",IF(I834&lt;=0,"BREACH",IF(I834&lt;=500,"WARNING","OK")))</f>
        <v/>
      </c>
    </row>
    <row r="835">
      <c r="B835" s="7" t="n"/>
      <c r="C835" s="7" t="n"/>
      <c r="D835" s="7">
        <f>IF(OR(B835="",C835=""),"",B835+C835)</f>
        <v/>
      </c>
      <c r="E835" s="7">
        <f>IF(D835="","",MAX($D$2:D835))</f>
        <v/>
      </c>
      <c r="F835" s="7">
        <f>IF(OR(E835="",D835=""),"",E835-D835)</f>
        <v/>
      </c>
      <c r="G835" s="8">
        <f>IF(OR(E835="",F835="",E835=0),"",F835/E835)</f>
        <v/>
      </c>
      <c r="H835" s="7" t="n"/>
      <c r="I835" s="7">
        <f>IF(OR(H835="",F835=""),"",H835-F835)</f>
        <v/>
      </c>
      <c r="J835">
        <f>IF(I835="","",IF(I835&lt;=0,"BREACH",IF(I835&lt;=500,"WARNING","OK")))</f>
        <v/>
      </c>
    </row>
    <row r="836">
      <c r="B836" s="7" t="n"/>
      <c r="C836" s="7" t="n"/>
      <c r="D836" s="7">
        <f>IF(OR(B836="",C836=""),"",B836+C836)</f>
        <v/>
      </c>
      <c r="E836" s="7">
        <f>IF(D836="","",MAX($D$2:D836))</f>
        <v/>
      </c>
      <c r="F836" s="7">
        <f>IF(OR(E836="",D836=""),"",E836-D836)</f>
        <v/>
      </c>
      <c r="G836" s="8">
        <f>IF(OR(E836="",F836="",E836=0),"",F836/E836)</f>
        <v/>
      </c>
      <c r="H836" s="7" t="n"/>
      <c r="I836" s="7">
        <f>IF(OR(H836="",F836=""),"",H836-F836)</f>
        <v/>
      </c>
      <c r="J836">
        <f>IF(I836="","",IF(I836&lt;=0,"BREACH",IF(I836&lt;=500,"WARNING","OK")))</f>
        <v/>
      </c>
    </row>
    <row r="837">
      <c r="B837" s="7" t="n"/>
      <c r="C837" s="7" t="n"/>
      <c r="D837" s="7">
        <f>IF(OR(B837="",C837=""),"",B837+C837)</f>
        <v/>
      </c>
      <c r="E837" s="7">
        <f>IF(D837="","",MAX($D$2:D837))</f>
        <v/>
      </c>
      <c r="F837" s="7">
        <f>IF(OR(E837="",D837=""),"",E837-D837)</f>
        <v/>
      </c>
      <c r="G837" s="8">
        <f>IF(OR(E837="",F837="",E837=0),"",F837/E837)</f>
        <v/>
      </c>
      <c r="H837" s="7" t="n"/>
      <c r="I837" s="7">
        <f>IF(OR(H837="",F837=""),"",H837-F837)</f>
        <v/>
      </c>
      <c r="J837">
        <f>IF(I837="","",IF(I837&lt;=0,"BREACH",IF(I837&lt;=500,"WARNING","OK")))</f>
        <v/>
      </c>
    </row>
    <row r="838">
      <c r="B838" s="7" t="n"/>
      <c r="C838" s="7" t="n"/>
      <c r="D838" s="7">
        <f>IF(OR(B838="",C838=""),"",B838+C838)</f>
        <v/>
      </c>
      <c r="E838" s="7">
        <f>IF(D838="","",MAX($D$2:D838))</f>
        <v/>
      </c>
      <c r="F838" s="7">
        <f>IF(OR(E838="",D838=""),"",E838-D838)</f>
        <v/>
      </c>
      <c r="G838" s="8">
        <f>IF(OR(E838="",F838="",E838=0),"",F838/E838)</f>
        <v/>
      </c>
      <c r="H838" s="7" t="n"/>
      <c r="I838" s="7">
        <f>IF(OR(H838="",F838=""),"",H838-F838)</f>
        <v/>
      </c>
      <c r="J838">
        <f>IF(I838="","",IF(I838&lt;=0,"BREACH",IF(I838&lt;=500,"WARNING","OK")))</f>
        <v/>
      </c>
    </row>
    <row r="839">
      <c r="B839" s="7" t="n"/>
      <c r="C839" s="7" t="n"/>
      <c r="D839" s="7">
        <f>IF(OR(B839="",C839=""),"",B839+C839)</f>
        <v/>
      </c>
      <c r="E839" s="7">
        <f>IF(D839="","",MAX($D$2:D839))</f>
        <v/>
      </c>
      <c r="F839" s="7">
        <f>IF(OR(E839="",D839=""),"",E839-D839)</f>
        <v/>
      </c>
      <c r="G839" s="8">
        <f>IF(OR(E839="",F839="",E839=0),"",F839/E839)</f>
        <v/>
      </c>
      <c r="H839" s="7" t="n"/>
      <c r="I839" s="7">
        <f>IF(OR(H839="",F839=""),"",H839-F839)</f>
        <v/>
      </c>
      <c r="J839">
        <f>IF(I839="","",IF(I839&lt;=0,"BREACH",IF(I839&lt;=500,"WARNING","OK")))</f>
        <v/>
      </c>
    </row>
    <row r="840">
      <c r="B840" s="7" t="n"/>
      <c r="C840" s="7" t="n"/>
      <c r="D840" s="7">
        <f>IF(OR(B840="",C840=""),"",B840+C840)</f>
        <v/>
      </c>
      <c r="E840" s="7">
        <f>IF(D840="","",MAX($D$2:D840))</f>
        <v/>
      </c>
      <c r="F840" s="7">
        <f>IF(OR(E840="",D840=""),"",E840-D840)</f>
        <v/>
      </c>
      <c r="G840" s="8">
        <f>IF(OR(E840="",F840="",E840=0),"",F840/E840)</f>
        <v/>
      </c>
      <c r="H840" s="7" t="n"/>
      <c r="I840" s="7">
        <f>IF(OR(H840="",F840=""),"",H840-F840)</f>
        <v/>
      </c>
      <c r="J840">
        <f>IF(I840="","",IF(I840&lt;=0,"BREACH",IF(I840&lt;=500,"WARNING","OK")))</f>
        <v/>
      </c>
    </row>
    <row r="841">
      <c r="B841" s="7" t="n"/>
      <c r="C841" s="7" t="n"/>
      <c r="D841" s="7">
        <f>IF(OR(B841="",C841=""),"",B841+C841)</f>
        <v/>
      </c>
      <c r="E841" s="7">
        <f>IF(D841="","",MAX($D$2:D841))</f>
        <v/>
      </c>
      <c r="F841" s="7">
        <f>IF(OR(E841="",D841=""),"",E841-D841)</f>
        <v/>
      </c>
      <c r="G841" s="8">
        <f>IF(OR(E841="",F841="",E841=0),"",F841/E841)</f>
        <v/>
      </c>
      <c r="H841" s="7" t="n"/>
      <c r="I841" s="7">
        <f>IF(OR(H841="",F841=""),"",H841-F841)</f>
        <v/>
      </c>
      <c r="J841">
        <f>IF(I841="","",IF(I841&lt;=0,"BREACH",IF(I841&lt;=500,"WARNING","OK")))</f>
        <v/>
      </c>
    </row>
    <row r="842">
      <c r="B842" s="7" t="n"/>
      <c r="C842" s="7" t="n"/>
      <c r="D842" s="7">
        <f>IF(OR(B842="",C842=""),"",B842+C842)</f>
        <v/>
      </c>
      <c r="E842" s="7">
        <f>IF(D842="","",MAX($D$2:D842))</f>
        <v/>
      </c>
      <c r="F842" s="7">
        <f>IF(OR(E842="",D842=""),"",E842-D842)</f>
        <v/>
      </c>
      <c r="G842" s="8">
        <f>IF(OR(E842="",F842="",E842=0),"",F842/E842)</f>
        <v/>
      </c>
      <c r="H842" s="7" t="n"/>
      <c r="I842" s="7">
        <f>IF(OR(H842="",F842=""),"",H842-F842)</f>
        <v/>
      </c>
      <c r="J842">
        <f>IF(I842="","",IF(I842&lt;=0,"BREACH",IF(I842&lt;=500,"WARNING","OK")))</f>
        <v/>
      </c>
    </row>
    <row r="843">
      <c r="B843" s="7" t="n"/>
      <c r="C843" s="7" t="n"/>
      <c r="D843" s="7">
        <f>IF(OR(B843="",C843=""),"",B843+C843)</f>
        <v/>
      </c>
      <c r="E843" s="7">
        <f>IF(D843="","",MAX($D$2:D843))</f>
        <v/>
      </c>
      <c r="F843" s="7">
        <f>IF(OR(E843="",D843=""),"",E843-D843)</f>
        <v/>
      </c>
      <c r="G843" s="8">
        <f>IF(OR(E843="",F843="",E843=0),"",F843/E843)</f>
        <v/>
      </c>
      <c r="H843" s="7" t="n"/>
      <c r="I843" s="7">
        <f>IF(OR(H843="",F843=""),"",H843-F843)</f>
        <v/>
      </c>
      <c r="J843">
        <f>IF(I843="","",IF(I843&lt;=0,"BREACH",IF(I843&lt;=500,"WARNING","OK")))</f>
        <v/>
      </c>
    </row>
    <row r="844">
      <c r="B844" s="7" t="n"/>
      <c r="C844" s="7" t="n"/>
      <c r="D844" s="7">
        <f>IF(OR(B844="",C844=""),"",B844+C844)</f>
        <v/>
      </c>
      <c r="E844" s="7">
        <f>IF(D844="","",MAX($D$2:D844))</f>
        <v/>
      </c>
      <c r="F844" s="7">
        <f>IF(OR(E844="",D844=""),"",E844-D844)</f>
        <v/>
      </c>
      <c r="G844" s="8">
        <f>IF(OR(E844="",F844="",E844=0),"",F844/E844)</f>
        <v/>
      </c>
      <c r="H844" s="7" t="n"/>
      <c r="I844" s="7">
        <f>IF(OR(H844="",F844=""),"",H844-F844)</f>
        <v/>
      </c>
      <c r="J844">
        <f>IF(I844="","",IF(I844&lt;=0,"BREACH",IF(I844&lt;=500,"WARNING","OK")))</f>
        <v/>
      </c>
    </row>
    <row r="845">
      <c r="B845" s="7" t="n"/>
      <c r="C845" s="7" t="n"/>
      <c r="D845" s="7">
        <f>IF(OR(B845="",C845=""),"",B845+C845)</f>
        <v/>
      </c>
      <c r="E845" s="7">
        <f>IF(D845="","",MAX($D$2:D845))</f>
        <v/>
      </c>
      <c r="F845" s="7">
        <f>IF(OR(E845="",D845=""),"",E845-D845)</f>
        <v/>
      </c>
      <c r="G845" s="8">
        <f>IF(OR(E845="",F845="",E845=0),"",F845/E845)</f>
        <v/>
      </c>
      <c r="H845" s="7" t="n"/>
      <c r="I845" s="7">
        <f>IF(OR(H845="",F845=""),"",H845-F845)</f>
        <v/>
      </c>
      <c r="J845">
        <f>IF(I845="","",IF(I845&lt;=0,"BREACH",IF(I845&lt;=500,"WARNING","OK")))</f>
        <v/>
      </c>
    </row>
    <row r="846">
      <c r="B846" s="7" t="n"/>
      <c r="C846" s="7" t="n"/>
      <c r="D846" s="7">
        <f>IF(OR(B846="",C846=""),"",B846+C846)</f>
        <v/>
      </c>
      <c r="E846" s="7">
        <f>IF(D846="","",MAX($D$2:D846))</f>
        <v/>
      </c>
      <c r="F846" s="7">
        <f>IF(OR(E846="",D846=""),"",E846-D846)</f>
        <v/>
      </c>
      <c r="G846" s="8">
        <f>IF(OR(E846="",F846="",E846=0),"",F846/E846)</f>
        <v/>
      </c>
      <c r="H846" s="7" t="n"/>
      <c r="I846" s="7">
        <f>IF(OR(H846="",F846=""),"",H846-F846)</f>
        <v/>
      </c>
      <c r="J846">
        <f>IF(I846="","",IF(I846&lt;=0,"BREACH",IF(I846&lt;=500,"WARNING","OK")))</f>
        <v/>
      </c>
    </row>
    <row r="847">
      <c r="B847" s="7" t="n"/>
      <c r="C847" s="7" t="n"/>
      <c r="D847" s="7">
        <f>IF(OR(B847="",C847=""),"",B847+C847)</f>
        <v/>
      </c>
      <c r="E847" s="7">
        <f>IF(D847="","",MAX($D$2:D847))</f>
        <v/>
      </c>
      <c r="F847" s="7">
        <f>IF(OR(E847="",D847=""),"",E847-D847)</f>
        <v/>
      </c>
      <c r="G847" s="8">
        <f>IF(OR(E847="",F847="",E847=0),"",F847/E847)</f>
        <v/>
      </c>
      <c r="H847" s="7" t="n"/>
      <c r="I847" s="7">
        <f>IF(OR(H847="",F847=""),"",H847-F847)</f>
        <v/>
      </c>
      <c r="J847">
        <f>IF(I847="","",IF(I847&lt;=0,"BREACH",IF(I847&lt;=500,"WARNING","OK")))</f>
        <v/>
      </c>
    </row>
    <row r="848">
      <c r="B848" s="7" t="n"/>
      <c r="C848" s="7" t="n"/>
      <c r="D848" s="7">
        <f>IF(OR(B848="",C848=""),"",B848+C848)</f>
        <v/>
      </c>
      <c r="E848" s="7">
        <f>IF(D848="","",MAX($D$2:D848))</f>
        <v/>
      </c>
      <c r="F848" s="7">
        <f>IF(OR(E848="",D848=""),"",E848-D848)</f>
        <v/>
      </c>
      <c r="G848" s="8">
        <f>IF(OR(E848="",F848="",E848=0),"",F848/E848)</f>
        <v/>
      </c>
      <c r="H848" s="7" t="n"/>
      <c r="I848" s="7">
        <f>IF(OR(H848="",F848=""),"",H848-F848)</f>
        <v/>
      </c>
      <c r="J848">
        <f>IF(I848="","",IF(I848&lt;=0,"BREACH",IF(I848&lt;=500,"WARNING","OK")))</f>
        <v/>
      </c>
    </row>
    <row r="849">
      <c r="B849" s="7" t="n"/>
      <c r="C849" s="7" t="n"/>
      <c r="D849" s="7">
        <f>IF(OR(B849="",C849=""),"",B849+C849)</f>
        <v/>
      </c>
      <c r="E849" s="7">
        <f>IF(D849="","",MAX($D$2:D849))</f>
        <v/>
      </c>
      <c r="F849" s="7">
        <f>IF(OR(E849="",D849=""),"",E849-D849)</f>
        <v/>
      </c>
      <c r="G849" s="8">
        <f>IF(OR(E849="",F849="",E849=0),"",F849/E849)</f>
        <v/>
      </c>
      <c r="H849" s="7" t="n"/>
      <c r="I849" s="7">
        <f>IF(OR(H849="",F849=""),"",H849-F849)</f>
        <v/>
      </c>
      <c r="J849">
        <f>IF(I849="","",IF(I849&lt;=0,"BREACH",IF(I849&lt;=500,"WARNING","OK")))</f>
        <v/>
      </c>
    </row>
    <row r="850">
      <c r="B850" s="7" t="n"/>
      <c r="C850" s="7" t="n"/>
      <c r="D850" s="7">
        <f>IF(OR(B850="",C850=""),"",B850+C850)</f>
        <v/>
      </c>
      <c r="E850" s="7">
        <f>IF(D850="","",MAX($D$2:D850))</f>
        <v/>
      </c>
      <c r="F850" s="7">
        <f>IF(OR(E850="",D850=""),"",E850-D850)</f>
        <v/>
      </c>
      <c r="G850" s="8">
        <f>IF(OR(E850="",F850="",E850=0),"",F850/E850)</f>
        <v/>
      </c>
      <c r="H850" s="7" t="n"/>
      <c r="I850" s="7">
        <f>IF(OR(H850="",F850=""),"",H850-F850)</f>
        <v/>
      </c>
      <c r="J850">
        <f>IF(I850="","",IF(I850&lt;=0,"BREACH",IF(I850&lt;=500,"WARNING","OK")))</f>
        <v/>
      </c>
    </row>
    <row r="851">
      <c r="B851" s="7" t="n"/>
      <c r="C851" s="7" t="n"/>
      <c r="D851" s="7">
        <f>IF(OR(B851="",C851=""),"",B851+C851)</f>
        <v/>
      </c>
      <c r="E851" s="7">
        <f>IF(D851="","",MAX($D$2:D851))</f>
        <v/>
      </c>
      <c r="F851" s="7">
        <f>IF(OR(E851="",D851=""),"",E851-D851)</f>
        <v/>
      </c>
      <c r="G851" s="8">
        <f>IF(OR(E851="",F851="",E851=0),"",F851/E851)</f>
        <v/>
      </c>
      <c r="H851" s="7" t="n"/>
      <c r="I851" s="7">
        <f>IF(OR(H851="",F851=""),"",H851-F851)</f>
        <v/>
      </c>
      <c r="J851">
        <f>IF(I851="","",IF(I851&lt;=0,"BREACH",IF(I851&lt;=500,"WARNING","OK")))</f>
        <v/>
      </c>
    </row>
    <row r="852">
      <c r="B852" s="7" t="n"/>
      <c r="C852" s="7" t="n"/>
      <c r="D852" s="7">
        <f>IF(OR(B852="",C852=""),"",B852+C852)</f>
        <v/>
      </c>
      <c r="E852" s="7">
        <f>IF(D852="","",MAX($D$2:D852))</f>
        <v/>
      </c>
      <c r="F852" s="7">
        <f>IF(OR(E852="",D852=""),"",E852-D852)</f>
        <v/>
      </c>
      <c r="G852" s="8">
        <f>IF(OR(E852="",F852="",E852=0),"",F852/E852)</f>
        <v/>
      </c>
      <c r="H852" s="7" t="n"/>
      <c r="I852" s="7">
        <f>IF(OR(H852="",F852=""),"",H852-F852)</f>
        <v/>
      </c>
      <c r="J852">
        <f>IF(I852="","",IF(I852&lt;=0,"BREACH",IF(I852&lt;=500,"WARNING","OK")))</f>
        <v/>
      </c>
    </row>
    <row r="853">
      <c r="B853" s="7" t="n"/>
      <c r="C853" s="7" t="n"/>
      <c r="D853" s="7">
        <f>IF(OR(B853="",C853=""),"",B853+C853)</f>
        <v/>
      </c>
      <c r="E853" s="7">
        <f>IF(D853="","",MAX($D$2:D853))</f>
        <v/>
      </c>
      <c r="F853" s="7">
        <f>IF(OR(E853="",D853=""),"",E853-D853)</f>
        <v/>
      </c>
      <c r="G853" s="8">
        <f>IF(OR(E853="",F853="",E853=0),"",F853/E853)</f>
        <v/>
      </c>
      <c r="H853" s="7" t="n"/>
      <c r="I853" s="7">
        <f>IF(OR(H853="",F853=""),"",H853-F853)</f>
        <v/>
      </c>
      <c r="J853">
        <f>IF(I853="","",IF(I853&lt;=0,"BREACH",IF(I853&lt;=500,"WARNING","OK")))</f>
        <v/>
      </c>
    </row>
    <row r="854">
      <c r="B854" s="7" t="n"/>
      <c r="C854" s="7" t="n"/>
      <c r="D854" s="7">
        <f>IF(OR(B854="",C854=""),"",B854+C854)</f>
        <v/>
      </c>
      <c r="E854" s="7">
        <f>IF(D854="","",MAX($D$2:D854))</f>
        <v/>
      </c>
      <c r="F854" s="7">
        <f>IF(OR(E854="",D854=""),"",E854-D854)</f>
        <v/>
      </c>
      <c r="G854" s="8">
        <f>IF(OR(E854="",F854="",E854=0),"",F854/E854)</f>
        <v/>
      </c>
      <c r="H854" s="7" t="n"/>
      <c r="I854" s="7">
        <f>IF(OR(H854="",F854=""),"",H854-F854)</f>
        <v/>
      </c>
      <c r="J854">
        <f>IF(I854="","",IF(I854&lt;=0,"BREACH",IF(I854&lt;=500,"WARNING","OK")))</f>
        <v/>
      </c>
    </row>
    <row r="855">
      <c r="B855" s="7" t="n"/>
      <c r="C855" s="7" t="n"/>
      <c r="D855" s="7">
        <f>IF(OR(B855="",C855=""),"",B855+C855)</f>
        <v/>
      </c>
      <c r="E855" s="7">
        <f>IF(D855="","",MAX($D$2:D855))</f>
        <v/>
      </c>
      <c r="F855" s="7">
        <f>IF(OR(E855="",D855=""),"",E855-D855)</f>
        <v/>
      </c>
      <c r="G855" s="8">
        <f>IF(OR(E855="",F855="",E855=0),"",F855/E855)</f>
        <v/>
      </c>
      <c r="H855" s="7" t="n"/>
      <c r="I855" s="7">
        <f>IF(OR(H855="",F855=""),"",H855-F855)</f>
        <v/>
      </c>
      <c r="J855">
        <f>IF(I855="","",IF(I855&lt;=0,"BREACH",IF(I855&lt;=500,"WARNING","OK")))</f>
        <v/>
      </c>
    </row>
    <row r="856">
      <c r="B856" s="7" t="n"/>
      <c r="C856" s="7" t="n"/>
      <c r="D856" s="7">
        <f>IF(OR(B856="",C856=""),"",B856+C856)</f>
        <v/>
      </c>
      <c r="E856" s="7">
        <f>IF(D856="","",MAX($D$2:D856))</f>
        <v/>
      </c>
      <c r="F856" s="7">
        <f>IF(OR(E856="",D856=""),"",E856-D856)</f>
        <v/>
      </c>
      <c r="G856" s="8">
        <f>IF(OR(E856="",F856="",E856=0),"",F856/E856)</f>
        <v/>
      </c>
      <c r="H856" s="7" t="n"/>
      <c r="I856" s="7">
        <f>IF(OR(H856="",F856=""),"",H856-F856)</f>
        <v/>
      </c>
      <c r="J856">
        <f>IF(I856="","",IF(I856&lt;=0,"BREACH",IF(I856&lt;=500,"WARNING","OK")))</f>
        <v/>
      </c>
    </row>
    <row r="857">
      <c r="B857" s="7" t="n"/>
      <c r="C857" s="7" t="n"/>
      <c r="D857" s="7">
        <f>IF(OR(B857="",C857=""),"",B857+C857)</f>
        <v/>
      </c>
      <c r="E857" s="7">
        <f>IF(D857="","",MAX($D$2:D857))</f>
        <v/>
      </c>
      <c r="F857" s="7">
        <f>IF(OR(E857="",D857=""),"",E857-D857)</f>
        <v/>
      </c>
      <c r="G857" s="8">
        <f>IF(OR(E857="",F857="",E857=0),"",F857/E857)</f>
        <v/>
      </c>
      <c r="H857" s="7" t="n"/>
      <c r="I857" s="7">
        <f>IF(OR(H857="",F857=""),"",H857-F857)</f>
        <v/>
      </c>
      <c r="J857">
        <f>IF(I857="","",IF(I857&lt;=0,"BREACH",IF(I857&lt;=500,"WARNING","OK")))</f>
        <v/>
      </c>
    </row>
    <row r="858">
      <c r="B858" s="7" t="n"/>
      <c r="C858" s="7" t="n"/>
      <c r="D858" s="7">
        <f>IF(OR(B858="",C858=""),"",B858+C858)</f>
        <v/>
      </c>
      <c r="E858" s="7">
        <f>IF(D858="","",MAX($D$2:D858))</f>
        <v/>
      </c>
      <c r="F858" s="7">
        <f>IF(OR(E858="",D858=""),"",E858-D858)</f>
        <v/>
      </c>
      <c r="G858" s="8">
        <f>IF(OR(E858="",F858="",E858=0),"",F858/E858)</f>
        <v/>
      </c>
      <c r="H858" s="7" t="n"/>
      <c r="I858" s="7">
        <f>IF(OR(H858="",F858=""),"",H858-F858)</f>
        <v/>
      </c>
      <c r="J858">
        <f>IF(I858="","",IF(I858&lt;=0,"BREACH",IF(I858&lt;=500,"WARNING","OK")))</f>
        <v/>
      </c>
    </row>
    <row r="859">
      <c r="B859" s="7" t="n"/>
      <c r="C859" s="7" t="n"/>
      <c r="D859" s="7">
        <f>IF(OR(B859="",C859=""),"",B859+C859)</f>
        <v/>
      </c>
      <c r="E859" s="7">
        <f>IF(D859="","",MAX($D$2:D859))</f>
        <v/>
      </c>
      <c r="F859" s="7">
        <f>IF(OR(E859="",D859=""),"",E859-D859)</f>
        <v/>
      </c>
      <c r="G859" s="8">
        <f>IF(OR(E859="",F859="",E859=0),"",F859/E859)</f>
        <v/>
      </c>
      <c r="H859" s="7" t="n"/>
      <c r="I859" s="7">
        <f>IF(OR(H859="",F859=""),"",H859-F859)</f>
        <v/>
      </c>
      <c r="J859">
        <f>IF(I859="","",IF(I859&lt;=0,"BREACH",IF(I859&lt;=500,"WARNING","OK")))</f>
        <v/>
      </c>
    </row>
    <row r="860">
      <c r="B860" s="7" t="n"/>
      <c r="C860" s="7" t="n"/>
      <c r="D860" s="7">
        <f>IF(OR(B860="",C860=""),"",B860+C860)</f>
        <v/>
      </c>
      <c r="E860" s="7">
        <f>IF(D860="","",MAX($D$2:D860))</f>
        <v/>
      </c>
      <c r="F860" s="7">
        <f>IF(OR(E860="",D860=""),"",E860-D860)</f>
        <v/>
      </c>
      <c r="G860" s="8">
        <f>IF(OR(E860="",F860="",E860=0),"",F860/E860)</f>
        <v/>
      </c>
      <c r="H860" s="7" t="n"/>
      <c r="I860" s="7">
        <f>IF(OR(H860="",F860=""),"",H860-F860)</f>
        <v/>
      </c>
      <c r="J860">
        <f>IF(I860="","",IF(I860&lt;=0,"BREACH",IF(I860&lt;=500,"WARNING","OK")))</f>
        <v/>
      </c>
    </row>
    <row r="861">
      <c r="B861" s="7" t="n"/>
      <c r="C861" s="7" t="n"/>
      <c r="D861" s="7">
        <f>IF(OR(B861="",C861=""),"",B861+C861)</f>
        <v/>
      </c>
      <c r="E861" s="7">
        <f>IF(D861="","",MAX($D$2:D861))</f>
        <v/>
      </c>
      <c r="F861" s="7">
        <f>IF(OR(E861="",D861=""),"",E861-D861)</f>
        <v/>
      </c>
      <c r="G861" s="8">
        <f>IF(OR(E861="",F861="",E861=0),"",F861/E861)</f>
        <v/>
      </c>
      <c r="H861" s="7" t="n"/>
      <c r="I861" s="7">
        <f>IF(OR(H861="",F861=""),"",H861-F861)</f>
        <v/>
      </c>
      <c r="J861">
        <f>IF(I861="","",IF(I861&lt;=0,"BREACH",IF(I861&lt;=500,"WARNING","OK")))</f>
        <v/>
      </c>
    </row>
    <row r="862">
      <c r="B862" s="7" t="n"/>
      <c r="C862" s="7" t="n"/>
      <c r="D862" s="7">
        <f>IF(OR(B862="",C862=""),"",B862+C862)</f>
        <v/>
      </c>
      <c r="E862" s="7">
        <f>IF(D862="","",MAX($D$2:D862))</f>
        <v/>
      </c>
      <c r="F862" s="7">
        <f>IF(OR(E862="",D862=""),"",E862-D862)</f>
        <v/>
      </c>
      <c r="G862" s="8">
        <f>IF(OR(E862="",F862="",E862=0),"",F862/E862)</f>
        <v/>
      </c>
      <c r="H862" s="7" t="n"/>
      <c r="I862" s="7">
        <f>IF(OR(H862="",F862=""),"",H862-F862)</f>
        <v/>
      </c>
      <c r="J862">
        <f>IF(I862="","",IF(I862&lt;=0,"BREACH",IF(I862&lt;=500,"WARNING","OK")))</f>
        <v/>
      </c>
    </row>
    <row r="863">
      <c r="B863" s="7" t="n"/>
      <c r="C863" s="7" t="n"/>
      <c r="D863" s="7">
        <f>IF(OR(B863="",C863=""),"",B863+C863)</f>
        <v/>
      </c>
      <c r="E863" s="7">
        <f>IF(D863="","",MAX($D$2:D863))</f>
        <v/>
      </c>
      <c r="F863" s="7">
        <f>IF(OR(E863="",D863=""),"",E863-D863)</f>
        <v/>
      </c>
      <c r="G863" s="8">
        <f>IF(OR(E863="",F863="",E863=0),"",F863/E863)</f>
        <v/>
      </c>
      <c r="H863" s="7" t="n"/>
      <c r="I863" s="7">
        <f>IF(OR(H863="",F863=""),"",H863-F863)</f>
        <v/>
      </c>
      <c r="J863">
        <f>IF(I863="","",IF(I863&lt;=0,"BREACH",IF(I863&lt;=500,"WARNING","OK")))</f>
        <v/>
      </c>
    </row>
    <row r="864">
      <c r="B864" s="7" t="n"/>
      <c r="C864" s="7" t="n"/>
      <c r="D864" s="7">
        <f>IF(OR(B864="",C864=""),"",B864+C864)</f>
        <v/>
      </c>
      <c r="E864" s="7">
        <f>IF(D864="","",MAX($D$2:D864))</f>
        <v/>
      </c>
      <c r="F864" s="7">
        <f>IF(OR(E864="",D864=""),"",E864-D864)</f>
        <v/>
      </c>
      <c r="G864" s="8">
        <f>IF(OR(E864="",F864="",E864=0),"",F864/E864)</f>
        <v/>
      </c>
      <c r="H864" s="7" t="n"/>
      <c r="I864" s="7">
        <f>IF(OR(H864="",F864=""),"",H864-F864)</f>
        <v/>
      </c>
      <c r="J864">
        <f>IF(I864="","",IF(I864&lt;=0,"BREACH",IF(I864&lt;=500,"WARNING","OK")))</f>
        <v/>
      </c>
    </row>
    <row r="865">
      <c r="B865" s="7" t="n"/>
      <c r="C865" s="7" t="n"/>
      <c r="D865" s="7">
        <f>IF(OR(B865="",C865=""),"",B865+C865)</f>
        <v/>
      </c>
      <c r="E865" s="7">
        <f>IF(D865="","",MAX($D$2:D865))</f>
        <v/>
      </c>
      <c r="F865" s="7">
        <f>IF(OR(E865="",D865=""),"",E865-D865)</f>
        <v/>
      </c>
      <c r="G865" s="8">
        <f>IF(OR(E865="",F865="",E865=0),"",F865/E865)</f>
        <v/>
      </c>
      <c r="H865" s="7" t="n"/>
      <c r="I865" s="7">
        <f>IF(OR(H865="",F865=""),"",H865-F865)</f>
        <v/>
      </c>
      <c r="J865">
        <f>IF(I865="","",IF(I865&lt;=0,"BREACH",IF(I865&lt;=500,"WARNING","OK")))</f>
        <v/>
      </c>
    </row>
    <row r="866">
      <c r="B866" s="7" t="n"/>
      <c r="C866" s="7" t="n"/>
      <c r="D866" s="7">
        <f>IF(OR(B866="",C866=""),"",B866+C866)</f>
        <v/>
      </c>
      <c r="E866" s="7">
        <f>IF(D866="","",MAX($D$2:D866))</f>
        <v/>
      </c>
      <c r="F866" s="7">
        <f>IF(OR(E866="",D866=""),"",E866-D866)</f>
        <v/>
      </c>
      <c r="G866" s="8">
        <f>IF(OR(E866="",F866="",E866=0),"",F866/E866)</f>
        <v/>
      </c>
      <c r="H866" s="7" t="n"/>
      <c r="I866" s="7">
        <f>IF(OR(H866="",F866=""),"",H866-F866)</f>
        <v/>
      </c>
      <c r="J866">
        <f>IF(I866="","",IF(I866&lt;=0,"BREACH",IF(I866&lt;=500,"WARNING","OK")))</f>
        <v/>
      </c>
    </row>
    <row r="867">
      <c r="B867" s="7" t="n"/>
      <c r="C867" s="7" t="n"/>
      <c r="D867" s="7">
        <f>IF(OR(B867="",C867=""),"",B867+C867)</f>
        <v/>
      </c>
      <c r="E867" s="7">
        <f>IF(D867="","",MAX($D$2:D867))</f>
        <v/>
      </c>
      <c r="F867" s="7">
        <f>IF(OR(E867="",D867=""),"",E867-D867)</f>
        <v/>
      </c>
      <c r="G867" s="8">
        <f>IF(OR(E867="",F867="",E867=0),"",F867/E867)</f>
        <v/>
      </c>
      <c r="H867" s="7" t="n"/>
      <c r="I867" s="7">
        <f>IF(OR(H867="",F867=""),"",H867-F867)</f>
        <v/>
      </c>
      <c r="J867">
        <f>IF(I867="","",IF(I867&lt;=0,"BREACH",IF(I867&lt;=500,"WARNING","OK")))</f>
        <v/>
      </c>
    </row>
    <row r="868">
      <c r="B868" s="7" t="n"/>
      <c r="C868" s="7" t="n"/>
      <c r="D868" s="7">
        <f>IF(OR(B868="",C868=""),"",B868+C868)</f>
        <v/>
      </c>
      <c r="E868" s="7">
        <f>IF(D868="","",MAX($D$2:D868))</f>
        <v/>
      </c>
      <c r="F868" s="7">
        <f>IF(OR(E868="",D868=""),"",E868-D868)</f>
        <v/>
      </c>
      <c r="G868" s="8">
        <f>IF(OR(E868="",F868="",E868=0),"",F868/E868)</f>
        <v/>
      </c>
      <c r="H868" s="7" t="n"/>
      <c r="I868" s="7">
        <f>IF(OR(H868="",F868=""),"",H868-F868)</f>
        <v/>
      </c>
      <c r="J868">
        <f>IF(I868="","",IF(I868&lt;=0,"BREACH",IF(I868&lt;=500,"WARNING","OK")))</f>
        <v/>
      </c>
    </row>
    <row r="869">
      <c r="B869" s="7" t="n"/>
      <c r="C869" s="7" t="n"/>
      <c r="D869" s="7">
        <f>IF(OR(B869="",C869=""),"",B869+C869)</f>
        <v/>
      </c>
      <c r="E869" s="7">
        <f>IF(D869="","",MAX($D$2:D869))</f>
        <v/>
      </c>
      <c r="F869" s="7">
        <f>IF(OR(E869="",D869=""),"",E869-D869)</f>
        <v/>
      </c>
      <c r="G869" s="8">
        <f>IF(OR(E869="",F869="",E869=0),"",F869/E869)</f>
        <v/>
      </c>
      <c r="H869" s="7" t="n"/>
      <c r="I869" s="7">
        <f>IF(OR(H869="",F869=""),"",H869-F869)</f>
        <v/>
      </c>
      <c r="J869">
        <f>IF(I869="","",IF(I869&lt;=0,"BREACH",IF(I869&lt;=500,"WARNING","OK")))</f>
        <v/>
      </c>
    </row>
    <row r="870">
      <c r="B870" s="7" t="n"/>
      <c r="C870" s="7" t="n"/>
      <c r="D870" s="7">
        <f>IF(OR(B870="",C870=""),"",B870+C870)</f>
        <v/>
      </c>
      <c r="E870" s="7">
        <f>IF(D870="","",MAX($D$2:D870))</f>
        <v/>
      </c>
      <c r="F870" s="7">
        <f>IF(OR(E870="",D870=""),"",E870-D870)</f>
        <v/>
      </c>
      <c r="G870" s="8">
        <f>IF(OR(E870="",F870="",E870=0),"",F870/E870)</f>
        <v/>
      </c>
      <c r="H870" s="7" t="n"/>
      <c r="I870" s="7">
        <f>IF(OR(H870="",F870=""),"",H870-F870)</f>
        <v/>
      </c>
      <c r="J870">
        <f>IF(I870="","",IF(I870&lt;=0,"BREACH",IF(I870&lt;=500,"WARNING","OK")))</f>
        <v/>
      </c>
    </row>
    <row r="871">
      <c r="B871" s="7" t="n"/>
      <c r="C871" s="7" t="n"/>
      <c r="D871" s="7">
        <f>IF(OR(B871="",C871=""),"",B871+C871)</f>
        <v/>
      </c>
      <c r="E871" s="7">
        <f>IF(D871="","",MAX($D$2:D871))</f>
        <v/>
      </c>
      <c r="F871" s="7">
        <f>IF(OR(E871="",D871=""),"",E871-D871)</f>
        <v/>
      </c>
      <c r="G871" s="8">
        <f>IF(OR(E871="",F871="",E871=0),"",F871/E871)</f>
        <v/>
      </c>
      <c r="H871" s="7" t="n"/>
      <c r="I871" s="7">
        <f>IF(OR(H871="",F871=""),"",H871-F871)</f>
        <v/>
      </c>
      <c r="J871">
        <f>IF(I871="","",IF(I871&lt;=0,"BREACH",IF(I871&lt;=500,"WARNING","OK")))</f>
        <v/>
      </c>
    </row>
    <row r="872">
      <c r="B872" s="7" t="n"/>
      <c r="C872" s="7" t="n"/>
      <c r="D872" s="7">
        <f>IF(OR(B872="",C872=""),"",B872+C872)</f>
        <v/>
      </c>
      <c r="E872" s="7">
        <f>IF(D872="","",MAX($D$2:D872))</f>
        <v/>
      </c>
      <c r="F872" s="7">
        <f>IF(OR(E872="",D872=""),"",E872-D872)</f>
        <v/>
      </c>
      <c r="G872" s="8">
        <f>IF(OR(E872="",F872="",E872=0),"",F872/E872)</f>
        <v/>
      </c>
      <c r="H872" s="7" t="n"/>
      <c r="I872" s="7">
        <f>IF(OR(H872="",F872=""),"",H872-F872)</f>
        <v/>
      </c>
      <c r="J872">
        <f>IF(I872="","",IF(I872&lt;=0,"BREACH",IF(I872&lt;=500,"WARNING","OK")))</f>
        <v/>
      </c>
    </row>
    <row r="873">
      <c r="B873" s="7" t="n"/>
      <c r="C873" s="7" t="n"/>
      <c r="D873" s="7">
        <f>IF(OR(B873="",C873=""),"",B873+C873)</f>
        <v/>
      </c>
      <c r="E873" s="7">
        <f>IF(D873="","",MAX($D$2:D873))</f>
        <v/>
      </c>
      <c r="F873" s="7">
        <f>IF(OR(E873="",D873=""),"",E873-D873)</f>
        <v/>
      </c>
      <c r="G873" s="8">
        <f>IF(OR(E873="",F873="",E873=0),"",F873/E873)</f>
        <v/>
      </c>
      <c r="H873" s="7" t="n"/>
      <c r="I873" s="7">
        <f>IF(OR(H873="",F873=""),"",H873-F873)</f>
        <v/>
      </c>
      <c r="J873">
        <f>IF(I873="","",IF(I873&lt;=0,"BREACH",IF(I873&lt;=500,"WARNING","OK")))</f>
        <v/>
      </c>
    </row>
    <row r="874">
      <c r="B874" s="7" t="n"/>
      <c r="C874" s="7" t="n"/>
      <c r="D874" s="7">
        <f>IF(OR(B874="",C874=""),"",B874+C874)</f>
        <v/>
      </c>
      <c r="E874" s="7">
        <f>IF(D874="","",MAX($D$2:D874))</f>
        <v/>
      </c>
      <c r="F874" s="7">
        <f>IF(OR(E874="",D874=""),"",E874-D874)</f>
        <v/>
      </c>
      <c r="G874" s="8">
        <f>IF(OR(E874="",F874="",E874=0),"",F874/E874)</f>
        <v/>
      </c>
      <c r="H874" s="7" t="n"/>
      <c r="I874" s="7">
        <f>IF(OR(H874="",F874=""),"",H874-F874)</f>
        <v/>
      </c>
      <c r="J874">
        <f>IF(I874="","",IF(I874&lt;=0,"BREACH",IF(I874&lt;=500,"WARNING","OK")))</f>
        <v/>
      </c>
    </row>
    <row r="875">
      <c r="B875" s="7" t="n"/>
      <c r="C875" s="7" t="n"/>
      <c r="D875" s="7">
        <f>IF(OR(B875="",C875=""),"",B875+C875)</f>
        <v/>
      </c>
      <c r="E875" s="7">
        <f>IF(D875="","",MAX($D$2:D875))</f>
        <v/>
      </c>
      <c r="F875" s="7">
        <f>IF(OR(E875="",D875=""),"",E875-D875)</f>
        <v/>
      </c>
      <c r="G875" s="8">
        <f>IF(OR(E875="",F875="",E875=0),"",F875/E875)</f>
        <v/>
      </c>
      <c r="H875" s="7" t="n"/>
      <c r="I875" s="7">
        <f>IF(OR(H875="",F875=""),"",H875-F875)</f>
        <v/>
      </c>
      <c r="J875">
        <f>IF(I875="","",IF(I875&lt;=0,"BREACH",IF(I875&lt;=500,"WARNING","OK")))</f>
        <v/>
      </c>
    </row>
    <row r="876">
      <c r="B876" s="7" t="n"/>
      <c r="C876" s="7" t="n"/>
      <c r="D876" s="7">
        <f>IF(OR(B876="",C876=""),"",B876+C876)</f>
        <v/>
      </c>
      <c r="E876" s="7">
        <f>IF(D876="","",MAX($D$2:D876))</f>
        <v/>
      </c>
      <c r="F876" s="7">
        <f>IF(OR(E876="",D876=""),"",E876-D876)</f>
        <v/>
      </c>
      <c r="G876" s="8">
        <f>IF(OR(E876="",F876="",E876=0),"",F876/E876)</f>
        <v/>
      </c>
      <c r="H876" s="7" t="n"/>
      <c r="I876" s="7">
        <f>IF(OR(H876="",F876=""),"",H876-F876)</f>
        <v/>
      </c>
      <c r="J876">
        <f>IF(I876="","",IF(I876&lt;=0,"BREACH",IF(I876&lt;=500,"WARNING","OK")))</f>
        <v/>
      </c>
    </row>
    <row r="877">
      <c r="B877" s="7" t="n"/>
      <c r="C877" s="7" t="n"/>
      <c r="D877" s="7">
        <f>IF(OR(B877="",C877=""),"",B877+C877)</f>
        <v/>
      </c>
      <c r="E877" s="7">
        <f>IF(D877="","",MAX($D$2:D877))</f>
        <v/>
      </c>
      <c r="F877" s="7">
        <f>IF(OR(E877="",D877=""),"",E877-D877)</f>
        <v/>
      </c>
      <c r="G877" s="8">
        <f>IF(OR(E877="",F877="",E877=0),"",F877/E877)</f>
        <v/>
      </c>
      <c r="H877" s="7" t="n"/>
      <c r="I877" s="7">
        <f>IF(OR(H877="",F877=""),"",H877-F877)</f>
        <v/>
      </c>
      <c r="J877">
        <f>IF(I877="","",IF(I877&lt;=0,"BREACH",IF(I877&lt;=500,"WARNING","OK")))</f>
        <v/>
      </c>
    </row>
    <row r="878">
      <c r="B878" s="7" t="n"/>
      <c r="C878" s="7" t="n"/>
      <c r="D878" s="7">
        <f>IF(OR(B878="",C878=""),"",B878+C878)</f>
        <v/>
      </c>
      <c r="E878" s="7">
        <f>IF(D878="","",MAX($D$2:D878))</f>
        <v/>
      </c>
      <c r="F878" s="7">
        <f>IF(OR(E878="",D878=""),"",E878-D878)</f>
        <v/>
      </c>
      <c r="G878" s="8">
        <f>IF(OR(E878="",F878="",E878=0),"",F878/E878)</f>
        <v/>
      </c>
      <c r="H878" s="7" t="n"/>
      <c r="I878" s="7">
        <f>IF(OR(H878="",F878=""),"",H878-F878)</f>
        <v/>
      </c>
      <c r="J878">
        <f>IF(I878="","",IF(I878&lt;=0,"BREACH",IF(I878&lt;=500,"WARNING","OK")))</f>
        <v/>
      </c>
    </row>
    <row r="879">
      <c r="B879" s="7" t="n"/>
      <c r="C879" s="7" t="n"/>
      <c r="D879" s="7">
        <f>IF(OR(B879="",C879=""),"",B879+C879)</f>
        <v/>
      </c>
      <c r="E879" s="7">
        <f>IF(D879="","",MAX($D$2:D879))</f>
        <v/>
      </c>
      <c r="F879" s="7">
        <f>IF(OR(E879="",D879=""),"",E879-D879)</f>
        <v/>
      </c>
      <c r="G879" s="8">
        <f>IF(OR(E879="",F879="",E879=0),"",F879/E879)</f>
        <v/>
      </c>
      <c r="H879" s="7" t="n"/>
      <c r="I879" s="7">
        <f>IF(OR(H879="",F879=""),"",H879-F879)</f>
        <v/>
      </c>
      <c r="J879">
        <f>IF(I879="","",IF(I879&lt;=0,"BREACH",IF(I879&lt;=500,"WARNING","OK")))</f>
        <v/>
      </c>
    </row>
    <row r="880">
      <c r="B880" s="7" t="n"/>
      <c r="C880" s="7" t="n"/>
      <c r="D880" s="7">
        <f>IF(OR(B880="",C880=""),"",B880+C880)</f>
        <v/>
      </c>
      <c r="E880" s="7">
        <f>IF(D880="","",MAX($D$2:D880))</f>
        <v/>
      </c>
      <c r="F880" s="7">
        <f>IF(OR(E880="",D880=""),"",E880-D880)</f>
        <v/>
      </c>
      <c r="G880" s="8">
        <f>IF(OR(E880="",F880="",E880=0),"",F880/E880)</f>
        <v/>
      </c>
      <c r="H880" s="7" t="n"/>
      <c r="I880" s="7">
        <f>IF(OR(H880="",F880=""),"",H880-F880)</f>
        <v/>
      </c>
      <c r="J880">
        <f>IF(I880="","",IF(I880&lt;=0,"BREACH",IF(I880&lt;=500,"WARNING","OK")))</f>
        <v/>
      </c>
    </row>
    <row r="881">
      <c r="B881" s="7" t="n"/>
      <c r="C881" s="7" t="n"/>
      <c r="D881" s="7">
        <f>IF(OR(B881="",C881=""),"",B881+C881)</f>
        <v/>
      </c>
      <c r="E881" s="7">
        <f>IF(D881="","",MAX($D$2:D881))</f>
        <v/>
      </c>
      <c r="F881" s="7">
        <f>IF(OR(E881="",D881=""),"",E881-D881)</f>
        <v/>
      </c>
      <c r="G881" s="8">
        <f>IF(OR(E881="",F881="",E881=0),"",F881/E881)</f>
        <v/>
      </c>
      <c r="H881" s="7" t="n"/>
      <c r="I881" s="7">
        <f>IF(OR(H881="",F881=""),"",H881-F881)</f>
        <v/>
      </c>
      <c r="J881">
        <f>IF(I881="","",IF(I881&lt;=0,"BREACH",IF(I881&lt;=500,"WARNING","OK")))</f>
        <v/>
      </c>
    </row>
    <row r="882">
      <c r="B882" s="7" t="n"/>
      <c r="C882" s="7" t="n"/>
      <c r="D882" s="7">
        <f>IF(OR(B882="",C882=""),"",B882+C882)</f>
        <v/>
      </c>
      <c r="E882" s="7">
        <f>IF(D882="","",MAX($D$2:D882))</f>
        <v/>
      </c>
      <c r="F882" s="7">
        <f>IF(OR(E882="",D882=""),"",E882-D882)</f>
        <v/>
      </c>
      <c r="G882" s="8">
        <f>IF(OR(E882="",F882="",E882=0),"",F882/E882)</f>
        <v/>
      </c>
      <c r="H882" s="7" t="n"/>
      <c r="I882" s="7">
        <f>IF(OR(H882="",F882=""),"",H882-F882)</f>
        <v/>
      </c>
      <c r="J882">
        <f>IF(I882="","",IF(I882&lt;=0,"BREACH",IF(I882&lt;=500,"WARNING","OK")))</f>
        <v/>
      </c>
    </row>
    <row r="883">
      <c r="B883" s="7" t="n"/>
      <c r="C883" s="7" t="n"/>
      <c r="D883" s="7">
        <f>IF(OR(B883="",C883=""),"",B883+C883)</f>
        <v/>
      </c>
      <c r="E883" s="7">
        <f>IF(D883="","",MAX($D$2:D883))</f>
        <v/>
      </c>
      <c r="F883" s="7">
        <f>IF(OR(E883="",D883=""),"",E883-D883)</f>
        <v/>
      </c>
      <c r="G883" s="8">
        <f>IF(OR(E883="",F883="",E883=0),"",F883/E883)</f>
        <v/>
      </c>
      <c r="H883" s="7" t="n"/>
      <c r="I883" s="7">
        <f>IF(OR(H883="",F883=""),"",H883-F883)</f>
        <v/>
      </c>
      <c r="J883">
        <f>IF(I883="","",IF(I883&lt;=0,"BREACH",IF(I883&lt;=500,"WARNING","OK")))</f>
        <v/>
      </c>
    </row>
    <row r="884">
      <c r="B884" s="7" t="n"/>
      <c r="C884" s="7" t="n"/>
      <c r="D884" s="7">
        <f>IF(OR(B884="",C884=""),"",B884+C884)</f>
        <v/>
      </c>
      <c r="E884" s="7">
        <f>IF(D884="","",MAX($D$2:D884))</f>
        <v/>
      </c>
      <c r="F884" s="7">
        <f>IF(OR(E884="",D884=""),"",E884-D884)</f>
        <v/>
      </c>
      <c r="G884" s="8">
        <f>IF(OR(E884="",F884="",E884=0),"",F884/E884)</f>
        <v/>
      </c>
      <c r="H884" s="7" t="n"/>
      <c r="I884" s="7">
        <f>IF(OR(H884="",F884=""),"",H884-F884)</f>
        <v/>
      </c>
      <c r="J884">
        <f>IF(I884="","",IF(I884&lt;=0,"BREACH",IF(I884&lt;=500,"WARNING","OK")))</f>
        <v/>
      </c>
    </row>
    <row r="885">
      <c r="B885" s="7" t="n"/>
      <c r="C885" s="7" t="n"/>
      <c r="D885" s="7">
        <f>IF(OR(B885="",C885=""),"",B885+C885)</f>
        <v/>
      </c>
      <c r="E885" s="7">
        <f>IF(D885="","",MAX($D$2:D885))</f>
        <v/>
      </c>
      <c r="F885" s="7">
        <f>IF(OR(E885="",D885=""),"",E885-D885)</f>
        <v/>
      </c>
      <c r="G885" s="8">
        <f>IF(OR(E885="",F885="",E885=0),"",F885/E885)</f>
        <v/>
      </c>
      <c r="H885" s="7" t="n"/>
      <c r="I885" s="7">
        <f>IF(OR(H885="",F885=""),"",H885-F885)</f>
        <v/>
      </c>
      <c r="J885">
        <f>IF(I885="","",IF(I885&lt;=0,"BREACH",IF(I885&lt;=500,"WARNING","OK")))</f>
        <v/>
      </c>
    </row>
    <row r="886">
      <c r="B886" s="7" t="n"/>
      <c r="C886" s="7" t="n"/>
      <c r="D886" s="7">
        <f>IF(OR(B886="",C886=""),"",B886+C886)</f>
        <v/>
      </c>
      <c r="E886" s="7">
        <f>IF(D886="","",MAX($D$2:D886))</f>
        <v/>
      </c>
      <c r="F886" s="7">
        <f>IF(OR(E886="",D886=""),"",E886-D886)</f>
        <v/>
      </c>
      <c r="G886" s="8">
        <f>IF(OR(E886="",F886="",E886=0),"",F886/E886)</f>
        <v/>
      </c>
      <c r="H886" s="7" t="n"/>
      <c r="I886" s="7">
        <f>IF(OR(H886="",F886=""),"",H886-F886)</f>
        <v/>
      </c>
      <c r="J886">
        <f>IF(I886="","",IF(I886&lt;=0,"BREACH",IF(I886&lt;=500,"WARNING","OK")))</f>
        <v/>
      </c>
    </row>
    <row r="887">
      <c r="B887" s="7" t="n"/>
      <c r="C887" s="7" t="n"/>
      <c r="D887" s="7">
        <f>IF(OR(B887="",C887=""),"",B887+C887)</f>
        <v/>
      </c>
      <c r="E887" s="7">
        <f>IF(D887="","",MAX($D$2:D887))</f>
        <v/>
      </c>
      <c r="F887" s="7">
        <f>IF(OR(E887="",D887=""),"",E887-D887)</f>
        <v/>
      </c>
      <c r="G887" s="8">
        <f>IF(OR(E887="",F887="",E887=0),"",F887/E887)</f>
        <v/>
      </c>
      <c r="H887" s="7" t="n"/>
      <c r="I887" s="7">
        <f>IF(OR(H887="",F887=""),"",H887-F887)</f>
        <v/>
      </c>
      <c r="J887">
        <f>IF(I887="","",IF(I887&lt;=0,"BREACH",IF(I887&lt;=500,"WARNING","OK")))</f>
        <v/>
      </c>
    </row>
    <row r="888">
      <c r="B888" s="7" t="n"/>
      <c r="C888" s="7" t="n"/>
      <c r="D888" s="7">
        <f>IF(OR(B888="",C888=""),"",B888+C888)</f>
        <v/>
      </c>
      <c r="E888" s="7">
        <f>IF(D888="","",MAX($D$2:D888))</f>
        <v/>
      </c>
      <c r="F888" s="7">
        <f>IF(OR(E888="",D888=""),"",E888-D888)</f>
        <v/>
      </c>
      <c r="G888" s="8">
        <f>IF(OR(E888="",F888="",E888=0),"",F888/E888)</f>
        <v/>
      </c>
      <c r="H888" s="7" t="n"/>
      <c r="I888" s="7">
        <f>IF(OR(H888="",F888=""),"",H888-F888)</f>
        <v/>
      </c>
      <c r="J888">
        <f>IF(I888="","",IF(I888&lt;=0,"BREACH",IF(I888&lt;=500,"WARNING","OK")))</f>
        <v/>
      </c>
    </row>
    <row r="889">
      <c r="B889" s="7" t="n"/>
      <c r="C889" s="7" t="n"/>
      <c r="D889" s="7">
        <f>IF(OR(B889="",C889=""),"",B889+C889)</f>
        <v/>
      </c>
      <c r="E889" s="7">
        <f>IF(D889="","",MAX($D$2:D889))</f>
        <v/>
      </c>
      <c r="F889" s="7">
        <f>IF(OR(E889="",D889=""),"",E889-D889)</f>
        <v/>
      </c>
      <c r="G889" s="8">
        <f>IF(OR(E889="",F889="",E889=0),"",F889/E889)</f>
        <v/>
      </c>
      <c r="H889" s="7" t="n"/>
      <c r="I889" s="7">
        <f>IF(OR(H889="",F889=""),"",H889-F889)</f>
        <v/>
      </c>
      <c r="J889">
        <f>IF(I889="","",IF(I889&lt;=0,"BREACH",IF(I889&lt;=500,"WARNING","OK")))</f>
        <v/>
      </c>
    </row>
    <row r="890">
      <c r="B890" s="7" t="n"/>
      <c r="C890" s="7" t="n"/>
      <c r="D890" s="7">
        <f>IF(OR(B890="",C890=""),"",B890+C890)</f>
        <v/>
      </c>
      <c r="E890" s="7">
        <f>IF(D890="","",MAX($D$2:D890))</f>
        <v/>
      </c>
      <c r="F890" s="7">
        <f>IF(OR(E890="",D890=""),"",E890-D890)</f>
        <v/>
      </c>
      <c r="G890" s="8">
        <f>IF(OR(E890="",F890="",E890=0),"",F890/E890)</f>
        <v/>
      </c>
      <c r="H890" s="7" t="n"/>
      <c r="I890" s="7">
        <f>IF(OR(H890="",F890=""),"",H890-F890)</f>
        <v/>
      </c>
      <c r="J890">
        <f>IF(I890="","",IF(I890&lt;=0,"BREACH",IF(I890&lt;=500,"WARNING","OK")))</f>
        <v/>
      </c>
    </row>
    <row r="891">
      <c r="B891" s="7" t="n"/>
      <c r="C891" s="7" t="n"/>
      <c r="D891" s="7">
        <f>IF(OR(B891="",C891=""),"",B891+C891)</f>
        <v/>
      </c>
      <c r="E891" s="7">
        <f>IF(D891="","",MAX($D$2:D891))</f>
        <v/>
      </c>
      <c r="F891" s="7">
        <f>IF(OR(E891="",D891=""),"",E891-D891)</f>
        <v/>
      </c>
      <c r="G891" s="8">
        <f>IF(OR(E891="",F891="",E891=0),"",F891/E891)</f>
        <v/>
      </c>
      <c r="H891" s="7" t="n"/>
      <c r="I891" s="7">
        <f>IF(OR(H891="",F891=""),"",H891-F891)</f>
        <v/>
      </c>
      <c r="J891">
        <f>IF(I891="","",IF(I891&lt;=0,"BREACH",IF(I891&lt;=500,"WARNING","OK")))</f>
        <v/>
      </c>
    </row>
    <row r="892">
      <c r="B892" s="7" t="n"/>
      <c r="C892" s="7" t="n"/>
      <c r="D892" s="7">
        <f>IF(OR(B892="",C892=""),"",B892+C892)</f>
        <v/>
      </c>
      <c r="E892" s="7">
        <f>IF(D892="","",MAX($D$2:D892))</f>
        <v/>
      </c>
      <c r="F892" s="7">
        <f>IF(OR(E892="",D892=""),"",E892-D892)</f>
        <v/>
      </c>
      <c r="G892" s="8">
        <f>IF(OR(E892="",F892="",E892=0),"",F892/E892)</f>
        <v/>
      </c>
      <c r="H892" s="7" t="n"/>
      <c r="I892" s="7">
        <f>IF(OR(H892="",F892=""),"",H892-F892)</f>
        <v/>
      </c>
      <c r="J892">
        <f>IF(I892="","",IF(I892&lt;=0,"BREACH",IF(I892&lt;=500,"WARNING","OK")))</f>
        <v/>
      </c>
    </row>
    <row r="893">
      <c r="B893" s="7" t="n"/>
      <c r="C893" s="7" t="n"/>
      <c r="D893" s="7">
        <f>IF(OR(B893="",C893=""),"",B893+C893)</f>
        <v/>
      </c>
      <c r="E893" s="7">
        <f>IF(D893="","",MAX($D$2:D893))</f>
        <v/>
      </c>
      <c r="F893" s="7">
        <f>IF(OR(E893="",D893=""),"",E893-D893)</f>
        <v/>
      </c>
      <c r="G893" s="8">
        <f>IF(OR(E893="",F893="",E893=0),"",F893/E893)</f>
        <v/>
      </c>
      <c r="H893" s="7" t="n"/>
      <c r="I893" s="7">
        <f>IF(OR(H893="",F893=""),"",H893-F893)</f>
        <v/>
      </c>
      <c r="J893">
        <f>IF(I893="","",IF(I893&lt;=0,"BREACH",IF(I893&lt;=500,"WARNING","OK")))</f>
        <v/>
      </c>
    </row>
    <row r="894">
      <c r="B894" s="7" t="n"/>
      <c r="C894" s="7" t="n"/>
      <c r="D894" s="7">
        <f>IF(OR(B894="",C894=""),"",B894+C894)</f>
        <v/>
      </c>
      <c r="E894" s="7">
        <f>IF(D894="","",MAX($D$2:D894))</f>
        <v/>
      </c>
      <c r="F894" s="7">
        <f>IF(OR(E894="",D894=""),"",E894-D894)</f>
        <v/>
      </c>
      <c r="G894" s="8">
        <f>IF(OR(E894="",F894="",E894=0),"",F894/E894)</f>
        <v/>
      </c>
      <c r="H894" s="7" t="n"/>
      <c r="I894" s="7">
        <f>IF(OR(H894="",F894=""),"",H894-F894)</f>
        <v/>
      </c>
      <c r="J894">
        <f>IF(I894="","",IF(I894&lt;=0,"BREACH",IF(I894&lt;=500,"WARNING","OK")))</f>
        <v/>
      </c>
    </row>
    <row r="895">
      <c r="B895" s="7" t="n"/>
      <c r="C895" s="7" t="n"/>
      <c r="D895" s="7">
        <f>IF(OR(B895="",C895=""),"",B895+C895)</f>
        <v/>
      </c>
      <c r="E895" s="7">
        <f>IF(D895="","",MAX($D$2:D895))</f>
        <v/>
      </c>
      <c r="F895" s="7">
        <f>IF(OR(E895="",D895=""),"",E895-D895)</f>
        <v/>
      </c>
      <c r="G895" s="8">
        <f>IF(OR(E895="",F895="",E895=0),"",F895/E895)</f>
        <v/>
      </c>
      <c r="H895" s="7" t="n"/>
      <c r="I895" s="7">
        <f>IF(OR(H895="",F895=""),"",H895-F895)</f>
        <v/>
      </c>
      <c r="J895">
        <f>IF(I895="","",IF(I895&lt;=0,"BREACH",IF(I895&lt;=500,"WARNING","OK")))</f>
        <v/>
      </c>
    </row>
    <row r="896">
      <c r="B896" s="7" t="n"/>
      <c r="C896" s="7" t="n"/>
      <c r="D896" s="7">
        <f>IF(OR(B896="",C896=""),"",B896+C896)</f>
        <v/>
      </c>
      <c r="E896" s="7">
        <f>IF(D896="","",MAX($D$2:D896))</f>
        <v/>
      </c>
      <c r="F896" s="7">
        <f>IF(OR(E896="",D896=""),"",E896-D896)</f>
        <v/>
      </c>
      <c r="G896" s="8">
        <f>IF(OR(E896="",F896="",E896=0),"",F896/E896)</f>
        <v/>
      </c>
      <c r="H896" s="7" t="n"/>
      <c r="I896" s="7">
        <f>IF(OR(H896="",F896=""),"",H896-F896)</f>
        <v/>
      </c>
      <c r="J896">
        <f>IF(I896="","",IF(I896&lt;=0,"BREACH",IF(I896&lt;=500,"WARNING","OK")))</f>
        <v/>
      </c>
    </row>
    <row r="897">
      <c r="B897" s="7" t="n"/>
      <c r="C897" s="7" t="n"/>
      <c r="D897" s="7">
        <f>IF(OR(B897="",C897=""),"",B897+C897)</f>
        <v/>
      </c>
      <c r="E897" s="7">
        <f>IF(D897="","",MAX($D$2:D897))</f>
        <v/>
      </c>
      <c r="F897" s="7">
        <f>IF(OR(E897="",D897=""),"",E897-D897)</f>
        <v/>
      </c>
      <c r="G897" s="8">
        <f>IF(OR(E897="",F897="",E897=0),"",F897/E897)</f>
        <v/>
      </c>
      <c r="H897" s="7" t="n"/>
      <c r="I897" s="7">
        <f>IF(OR(H897="",F897=""),"",H897-F897)</f>
        <v/>
      </c>
      <c r="J897">
        <f>IF(I897="","",IF(I897&lt;=0,"BREACH",IF(I897&lt;=500,"WARNING","OK")))</f>
        <v/>
      </c>
    </row>
    <row r="898">
      <c r="B898" s="7" t="n"/>
      <c r="C898" s="7" t="n"/>
      <c r="D898" s="7">
        <f>IF(OR(B898="",C898=""),"",B898+C898)</f>
        <v/>
      </c>
      <c r="E898" s="7">
        <f>IF(D898="","",MAX($D$2:D898))</f>
        <v/>
      </c>
      <c r="F898" s="7">
        <f>IF(OR(E898="",D898=""),"",E898-D898)</f>
        <v/>
      </c>
      <c r="G898" s="8">
        <f>IF(OR(E898="",F898="",E898=0),"",F898/E898)</f>
        <v/>
      </c>
      <c r="H898" s="7" t="n"/>
      <c r="I898" s="7">
        <f>IF(OR(H898="",F898=""),"",H898-F898)</f>
        <v/>
      </c>
      <c r="J898">
        <f>IF(I898="","",IF(I898&lt;=0,"BREACH",IF(I898&lt;=500,"WARNING","OK")))</f>
        <v/>
      </c>
    </row>
    <row r="899">
      <c r="B899" s="7" t="n"/>
      <c r="C899" s="7" t="n"/>
      <c r="D899" s="7">
        <f>IF(OR(B899="",C899=""),"",B899+C899)</f>
        <v/>
      </c>
      <c r="E899" s="7">
        <f>IF(D899="","",MAX($D$2:D899))</f>
        <v/>
      </c>
      <c r="F899" s="7">
        <f>IF(OR(E899="",D899=""),"",E899-D899)</f>
        <v/>
      </c>
      <c r="G899" s="8">
        <f>IF(OR(E899="",F899="",E899=0),"",F899/E899)</f>
        <v/>
      </c>
      <c r="H899" s="7" t="n"/>
      <c r="I899" s="7">
        <f>IF(OR(H899="",F899=""),"",H899-F899)</f>
        <v/>
      </c>
      <c r="J899">
        <f>IF(I899="","",IF(I899&lt;=0,"BREACH",IF(I899&lt;=500,"WARNING","OK")))</f>
        <v/>
      </c>
    </row>
    <row r="900">
      <c r="B900" s="7" t="n"/>
      <c r="C900" s="7" t="n"/>
      <c r="D900" s="7">
        <f>IF(OR(B900="",C900=""),"",B900+C900)</f>
        <v/>
      </c>
      <c r="E900" s="7">
        <f>IF(D900="","",MAX($D$2:D900))</f>
        <v/>
      </c>
      <c r="F900" s="7">
        <f>IF(OR(E900="",D900=""),"",E900-D900)</f>
        <v/>
      </c>
      <c r="G900" s="8">
        <f>IF(OR(E900="",F900="",E900=0),"",F900/E900)</f>
        <v/>
      </c>
      <c r="H900" s="7" t="n"/>
      <c r="I900" s="7">
        <f>IF(OR(H900="",F900=""),"",H900-F900)</f>
        <v/>
      </c>
      <c r="J900">
        <f>IF(I900="","",IF(I900&lt;=0,"BREACH",IF(I900&lt;=500,"WARNING","OK")))</f>
        <v/>
      </c>
    </row>
    <row r="901">
      <c r="B901" s="7" t="n"/>
      <c r="C901" s="7" t="n"/>
      <c r="D901" s="7">
        <f>IF(OR(B901="",C901=""),"",B901+C901)</f>
        <v/>
      </c>
      <c r="E901" s="7">
        <f>IF(D901="","",MAX($D$2:D901))</f>
        <v/>
      </c>
      <c r="F901" s="7">
        <f>IF(OR(E901="",D901=""),"",E901-D901)</f>
        <v/>
      </c>
      <c r="G901" s="8">
        <f>IF(OR(E901="",F901="",E901=0),"",F901/E901)</f>
        <v/>
      </c>
      <c r="H901" s="7" t="n"/>
      <c r="I901" s="7">
        <f>IF(OR(H901="",F901=""),"",H901-F901)</f>
        <v/>
      </c>
      <c r="J901">
        <f>IF(I901="","",IF(I901&lt;=0,"BREACH",IF(I901&lt;=500,"WARNING","OK")))</f>
        <v/>
      </c>
    </row>
    <row r="902">
      <c r="B902" s="7" t="n"/>
      <c r="C902" s="7" t="n"/>
      <c r="D902" s="7">
        <f>IF(OR(B902="",C902=""),"",B902+C902)</f>
        <v/>
      </c>
      <c r="E902" s="7">
        <f>IF(D902="","",MAX($D$2:D902))</f>
        <v/>
      </c>
      <c r="F902" s="7">
        <f>IF(OR(E902="",D902=""),"",E902-D902)</f>
        <v/>
      </c>
      <c r="G902" s="8">
        <f>IF(OR(E902="",F902="",E902=0),"",F902/E902)</f>
        <v/>
      </c>
      <c r="H902" s="7" t="n"/>
      <c r="I902" s="7">
        <f>IF(OR(H902="",F902=""),"",H902-F902)</f>
        <v/>
      </c>
      <c r="J902">
        <f>IF(I902="","",IF(I902&lt;=0,"BREACH",IF(I902&lt;=500,"WARNING","OK")))</f>
        <v/>
      </c>
    </row>
    <row r="903">
      <c r="B903" s="7" t="n"/>
      <c r="C903" s="7" t="n"/>
      <c r="D903" s="7">
        <f>IF(OR(B903="",C903=""),"",B903+C903)</f>
        <v/>
      </c>
      <c r="E903" s="7">
        <f>IF(D903="","",MAX($D$2:D903))</f>
        <v/>
      </c>
      <c r="F903" s="7">
        <f>IF(OR(E903="",D903=""),"",E903-D903)</f>
        <v/>
      </c>
      <c r="G903" s="8">
        <f>IF(OR(E903="",F903="",E903=0),"",F903/E903)</f>
        <v/>
      </c>
      <c r="H903" s="7" t="n"/>
      <c r="I903" s="7">
        <f>IF(OR(H903="",F903=""),"",H903-F903)</f>
        <v/>
      </c>
      <c r="J903">
        <f>IF(I903="","",IF(I903&lt;=0,"BREACH",IF(I903&lt;=500,"WARNING","OK")))</f>
        <v/>
      </c>
    </row>
    <row r="904">
      <c r="B904" s="7" t="n"/>
      <c r="C904" s="7" t="n"/>
      <c r="D904" s="7">
        <f>IF(OR(B904="",C904=""),"",B904+C904)</f>
        <v/>
      </c>
      <c r="E904" s="7">
        <f>IF(D904="","",MAX($D$2:D904))</f>
        <v/>
      </c>
      <c r="F904" s="7">
        <f>IF(OR(E904="",D904=""),"",E904-D904)</f>
        <v/>
      </c>
      <c r="G904" s="8">
        <f>IF(OR(E904="",F904="",E904=0),"",F904/E904)</f>
        <v/>
      </c>
      <c r="H904" s="7" t="n"/>
      <c r="I904" s="7">
        <f>IF(OR(H904="",F904=""),"",H904-F904)</f>
        <v/>
      </c>
      <c r="J904">
        <f>IF(I904="","",IF(I904&lt;=0,"BREACH",IF(I904&lt;=500,"WARNING","OK")))</f>
        <v/>
      </c>
    </row>
    <row r="905">
      <c r="B905" s="7" t="n"/>
      <c r="C905" s="7" t="n"/>
      <c r="D905" s="7">
        <f>IF(OR(B905="",C905=""),"",B905+C905)</f>
        <v/>
      </c>
      <c r="E905" s="7">
        <f>IF(D905="","",MAX($D$2:D905))</f>
        <v/>
      </c>
      <c r="F905" s="7">
        <f>IF(OR(E905="",D905=""),"",E905-D905)</f>
        <v/>
      </c>
      <c r="G905" s="8">
        <f>IF(OR(E905="",F905="",E905=0),"",F905/E905)</f>
        <v/>
      </c>
      <c r="H905" s="7" t="n"/>
      <c r="I905" s="7">
        <f>IF(OR(H905="",F905=""),"",H905-F905)</f>
        <v/>
      </c>
      <c r="J905">
        <f>IF(I905="","",IF(I905&lt;=0,"BREACH",IF(I905&lt;=500,"WARNING","OK")))</f>
        <v/>
      </c>
    </row>
    <row r="906">
      <c r="B906" s="7" t="n"/>
      <c r="C906" s="7" t="n"/>
      <c r="D906" s="7">
        <f>IF(OR(B906="",C906=""),"",B906+C906)</f>
        <v/>
      </c>
      <c r="E906" s="7">
        <f>IF(D906="","",MAX($D$2:D906))</f>
        <v/>
      </c>
      <c r="F906" s="7">
        <f>IF(OR(E906="",D906=""),"",E906-D906)</f>
        <v/>
      </c>
      <c r="G906" s="8">
        <f>IF(OR(E906="",F906="",E906=0),"",F906/E906)</f>
        <v/>
      </c>
      <c r="H906" s="7" t="n"/>
      <c r="I906" s="7">
        <f>IF(OR(H906="",F906=""),"",H906-F906)</f>
        <v/>
      </c>
      <c r="J906">
        <f>IF(I906="","",IF(I906&lt;=0,"BREACH",IF(I906&lt;=500,"WARNING","OK")))</f>
        <v/>
      </c>
    </row>
    <row r="907">
      <c r="B907" s="7" t="n"/>
      <c r="C907" s="7" t="n"/>
      <c r="D907" s="7">
        <f>IF(OR(B907="",C907=""),"",B907+C907)</f>
        <v/>
      </c>
      <c r="E907" s="7">
        <f>IF(D907="","",MAX($D$2:D907))</f>
        <v/>
      </c>
      <c r="F907" s="7">
        <f>IF(OR(E907="",D907=""),"",E907-D907)</f>
        <v/>
      </c>
      <c r="G907" s="8">
        <f>IF(OR(E907="",F907="",E907=0),"",F907/E907)</f>
        <v/>
      </c>
      <c r="H907" s="7" t="n"/>
      <c r="I907" s="7">
        <f>IF(OR(H907="",F907=""),"",H907-F907)</f>
        <v/>
      </c>
      <c r="J907">
        <f>IF(I907="","",IF(I907&lt;=0,"BREACH",IF(I907&lt;=500,"WARNING","OK")))</f>
        <v/>
      </c>
    </row>
    <row r="908">
      <c r="B908" s="7" t="n"/>
      <c r="C908" s="7" t="n"/>
      <c r="D908" s="7">
        <f>IF(OR(B908="",C908=""),"",B908+C908)</f>
        <v/>
      </c>
      <c r="E908" s="7">
        <f>IF(D908="","",MAX($D$2:D908))</f>
        <v/>
      </c>
      <c r="F908" s="7">
        <f>IF(OR(E908="",D908=""),"",E908-D908)</f>
        <v/>
      </c>
      <c r="G908" s="8">
        <f>IF(OR(E908="",F908="",E908=0),"",F908/E908)</f>
        <v/>
      </c>
      <c r="H908" s="7" t="n"/>
      <c r="I908" s="7">
        <f>IF(OR(H908="",F908=""),"",H908-F908)</f>
        <v/>
      </c>
      <c r="J908">
        <f>IF(I908="","",IF(I908&lt;=0,"BREACH",IF(I908&lt;=500,"WARNING","OK")))</f>
        <v/>
      </c>
    </row>
    <row r="909">
      <c r="B909" s="7" t="n"/>
      <c r="C909" s="7" t="n"/>
      <c r="D909" s="7">
        <f>IF(OR(B909="",C909=""),"",B909+C909)</f>
        <v/>
      </c>
      <c r="E909" s="7">
        <f>IF(D909="","",MAX($D$2:D909))</f>
        <v/>
      </c>
      <c r="F909" s="7">
        <f>IF(OR(E909="",D909=""),"",E909-D909)</f>
        <v/>
      </c>
      <c r="G909" s="8">
        <f>IF(OR(E909="",F909="",E909=0),"",F909/E909)</f>
        <v/>
      </c>
      <c r="H909" s="7" t="n"/>
      <c r="I909" s="7">
        <f>IF(OR(H909="",F909=""),"",H909-F909)</f>
        <v/>
      </c>
      <c r="J909">
        <f>IF(I909="","",IF(I909&lt;=0,"BREACH",IF(I909&lt;=500,"WARNING","OK")))</f>
        <v/>
      </c>
    </row>
    <row r="910">
      <c r="B910" s="7" t="n"/>
      <c r="C910" s="7" t="n"/>
      <c r="D910" s="7">
        <f>IF(OR(B910="",C910=""),"",B910+C910)</f>
        <v/>
      </c>
      <c r="E910" s="7">
        <f>IF(D910="","",MAX($D$2:D910))</f>
        <v/>
      </c>
      <c r="F910" s="7">
        <f>IF(OR(E910="",D910=""),"",E910-D910)</f>
        <v/>
      </c>
      <c r="G910" s="8">
        <f>IF(OR(E910="",F910="",E910=0),"",F910/E910)</f>
        <v/>
      </c>
      <c r="H910" s="7" t="n"/>
      <c r="I910" s="7">
        <f>IF(OR(H910="",F910=""),"",H910-F910)</f>
        <v/>
      </c>
      <c r="J910">
        <f>IF(I910="","",IF(I910&lt;=0,"BREACH",IF(I910&lt;=500,"WARNING","OK")))</f>
        <v/>
      </c>
    </row>
    <row r="911">
      <c r="B911" s="7" t="n"/>
      <c r="C911" s="7" t="n"/>
      <c r="D911" s="7">
        <f>IF(OR(B911="",C911=""),"",B911+C911)</f>
        <v/>
      </c>
      <c r="E911" s="7">
        <f>IF(D911="","",MAX($D$2:D911))</f>
        <v/>
      </c>
      <c r="F911" s="7">
        <f>IF(OR(E911="",D911=""),"",E911-D911)</f>
        <v/>
      </c>
      <c r="G911" s="8">
        <f>IF(OR(E911="",F911="",E911=0),"",F911/E911)</f>
        <v/>
      </c>
      <c r="H911" s="7" t="n"/>
      <c r="I911" s="7">
        <f>IF(OR(H911="",F911=""),"",H911-F911)</f>
        <v/>
      </c>
      <c r="J911">
        <f>IF(I911="","",IF(I911&lt;=0,"BREACH",IF(I911&lt;=500,"WARNING","OK")))</f>
        <v/>
      </c>
    </row>
    <row r="912">
      <c r="B912" s="7" t="n"/>
      <c r="C912" s="7" t="n"/>
      <c r="D912" s="7">
        <f>IF(OR(B912="",C912=""),"",B912+C912)</f>
        <v/>
      </c>
      <c r="E912" s="7">
        <f>IF(D912="","",MAX($D$2:D912))</f>
        <v/>
      </c>
      <c r="F912" s="7">
        <f>IF(OR(E912="",D912=""),"",E912-D912)</f>
        <v/>
      </c>
      <c r="G912" s="8">
        <f>IF(OR(E912="",F912="",E912=0),"",F912/E912)</f>
        <v/>
      </c>
      <c r="H912" s="7" t="n"/>
      <c r="I912" s="7">
        <f>IF(OR(H912="",F912=""),"",H912-F912)</f>
        <v/>
      </c>
      <c r="J912">
        <f>IF(I912="","",IF(I912&lt;=0,"BREACH",IF(I912&lt;=500,"WARNING","OK")))</f>
        <v/>
      </c>
    </row>
    <row r="913">
      <c r="B913" s="7" t="n"/>
      <c r="C913" s="7" t="n"/>
      <c r="D913" s="7">
        <f>IF(OR(B913="",C913=""),"",B913+C913)</f>
        <v/>
      </c>
      <c r="E913" s="7">
        <f>IF(D913="","",MAX($D$2:D913))</f>
        <v/>
      </c>
      <c r="F913" s="7">
        <f>IF(OR(E913="",D913=""),"",E913-D913)</f>
        <v/>
      </c>
      <c r="G913" s="8">
        <f>IF(OR(E913="",F913="",E913=0),"",F913/E913)</f>
        <v/>
      </c>
      <c r="H913" s="7" t="n"/>
      <c r="I913" s="7">
        <f>IF(OR(H913="",F913=""),"",H913-F913)</f>
        <v/>
      </c>
      <c r="J913">
        <f>IF(I913="","",IF(I913&lt;=0,"BREACH",IF(I913&lt;=500,"WARNING","OK")))</f>
        <v/>
      </c>
    </row>
    <row r="914">
      <c r="B914" s="7" t="n"/>
      <c r="C914" s="7" t="n"/>
      <c r="D914" s="7">
        <f>IF(OR(B914="",C914=""),"",B914+C914)</f>
        <v/>
      </c>
      <c r="E914" s="7">
        <f>IF(D914="","",MAX($D$2:D914))</f>
        <v/>
      </c>
      <c r="F914" s="7">
        <f>IF(OR(E914="",D914=""),"",E914-D914)</f>
        <v/>
      </c>
      <c r="G914" s="8">
        <f>IF(OR(E914="",F914="",E914=0),"",F914/E914)</f>
        <v/>
      </c>
      <c r="H914" s="7" t="n"/>
      <c r="I914" s="7">
        <f>IF(OR(H914="",F914=""),"",H914-F914)</f>
        <v/>
      </c>
      <c r="J914">
        <f>IF(I914="","",IF(I914&lt;=0,"BREACH",IF(I914&lt;=500,"WARNING","OK")))</f>
        <v/>
      </c>
    </row>
    <row r="915">
      <c r="B915" s="7" t="n"/>
      <c r="C915" s="7" t="n"/>
      <c r="D915" s="7">
        <f>IF(OR(B915="",C915=""),"",B915+C915)</f>
        <v/>
      </c>
      <c r="E915" s="7">
        <f>IF(D915="","",MAX($D$2:D915))</f>
        <v/>
      </c>
      <c r="F915" s="7">
        <f>IF(OR(E915="",D915=""),"",E915-D915)</f>
        <v/>
      </c>
      <c r="G915" s="8">
        <f>IF(OR(E915="",F915="",E915=0),"",F915/E915)</f>
        <v/>
      </c>
      <c r="H915" s="7" t="n"/>
      <c r="I915" s="7">
        <f>IF(OR(H915="",F915=""),"",H915-F915)</f>
        <v/>
      </c>
      <c r="J915">
        <f>IF(I915="","",IF(I915&lt;=0,"BREACH",IF(I915&lt;=500,"WARNING","OK")))</f>
        <v/>
      </c>
    </row>
    <row r="916">
      <c r="B916" s="7" t="n"/>
      <c r="C916" s="7" t="n"/>
      <c r="D916" s="7">
        <f>IF(OR(B916="",C916=""),"",B916+C916)</f>
        <v/>
      </c>
      <c r="E916" s="7">
        <f>IF(D916="","",MAX($D$2:D916))</f>
        <v/>
      </c>
      <c r="F916" s="7">
        <f>IF(OR(E916="",D916=""),"",E916-D916)</f>
        <v/>
      </c>
      <c r="G916" s="8">
        <f>IF(OR(E916="",F916="",E916=0),"",F916/E916)</f>
        <v/>
      </c>
      <c r="H916" s="7" t="n"/>
      <c r="I916" s="7">
        <f>IF(OR(H916="",F916=""),"",H916-F916)</f>
        <v/>
      </c>
      <c r="J916">
        <f>IF(I916="","",IF(I916&lt;=0,"BREACH",IF(I916&lt;=500,"WARNING","OK")))</f>
        <v/>
      </c>
    </row>
    <row r="917">
      <c r="B917" s="7" t="n"/>
      <c r="C917" s="7" t="n"/>
      <c r="D917" s="7">
        <f>IF(OR(B917="",C917=""),"",B917+C917)</f>
        <v/>
      </c>
      <c r="E917" s="7">
        <f>IF(D917="","",MAX($D$2:D917))</f>
        <v/>
      </c>
      <c r="F917" s="7">
        <f>IF(OR(E917="",D917=""),"",E917-D917)</f>
        <v/>
      </c>
      <c r="G917" s="8">
        <f>IF(OR(E917="",F917="",E917=0),"",F917/E917)</f>
        <v/>
      </c>
      <c r="H917" s="7" t="n"/>
      <c r="I917" s="7">
        <f>IF(OR(H917="",F917=""),"",H917-F917)</f>
        <v/>
      </c>
      <c r="J917">
        <f>IF(I917="","",IF(I917&lt;=0,"BREACH",IF(I917&lt;=500,"WARNING","OK")))</f>
        <v/>
      </c>
    </row>
    <row r="918">
      <c r="B918" s="7" t="n"/>
      <c r="C918" s="7" t="n"/>
      <c r="D918" s="7">
        <f>IF(OR(B918="",C918=""),"",B918+C918)</f>
        <v/>
      </c>
      <c r="E918" s="7">
        <f>IF(D918="","",MAX($D$2:D918))</f>
        <v/>
      </c>
      <c r="F918" s="7">
        <f>IF(OR(E918="",D918=""),"",E918-D918)</f>
        <v/>
      </c>
      <c r="G918" s="8">
        <f>IF(OR(E918="",F918="",E918=0),"",F918/E918)</f>
        <v/>
      </c>
      <c r="H918" s="7" t="n"/>
      <c r="I918" s="7">
        <f>IF(OR(H918="",F918=""),"",H918-F918)</f>
        <v/>
      </c>
      <c r="J918">
        <f>IF(I918="","",IF(I918&lt;=0,"BREACH",IF(I918&lt;=500,"WARNING","OK")))</f>
        <v/>
      </c>
    </row>
    <row r="919">
      <c r="B919" s="7" t="n"/>
      <c r="C919" s="7" t="n"/>
      <c r="D919" s="7">
        <f>IF(OR(B919="",C919=""),"",B919+C919)</f>
        <v/>
      </c>
      <c r="E919" s="7">
        <f>IF(D919="","",MAX($D$2:D919))</f>
        <v/>
      </c>
      <c r="F919" s="7">
        <f>IF(OR(E919="",D919=""),"",E919-D919)</f>
        <v/>
      </c>
      <c r="G919" s="8">
        <f>IF(OR(E919="",F919="",E919=0),"",F919/E919)</f>
        <v/>
      </c>
      <c r="H919" s="7" t="n"/>
      <c r="I919" s="7">
        <f>IF(OR(H919="",F919=""),"",H919-F919)</f>
        <v/>
      </c>
      <c r="J919">
        <f>IF(I919="","",IF(I919&lt;=0,"BREACH",IF(I919&lt;=500,"WARNING","OK")))</f>
        <v/>
      </c>
    </row>
    <row r="920">
      <c r="B920" s="7" t="n"/>
      <c r="C920" s="7" t="n"/>
      <c r="D920" s="7">
        <f>IF(OR(B920="",C920=""),"",B920+C920)</f>
        <v/>
      </c>
      <c r="E920" s="7">
        <f>IF(D920="","",MAX($D$2:D920))</f>
        <v/>
      </c>
      <c r="F920" s="7">
        <f>IF(OR(E920="",D920=""),"",E920-D920)</f>
        <v/>
      </c>
      <c r="G920" s="8">
        <f>IF(OR(E920="",F920="",E920=0),"",F920/E920)</f>
        <v/>
      </c>
      <c r="H920" s="7" t="n"/>
      <c r="I920" s="7">
        <f>IF(OR(H920="",F920=""),"",H920-F920)</f>
        <v/>
      </c>
      <c r="J920">
        <f>IF(I920="","",IF(I920&lt;=0,"BREACH",IF(I920&lt;=500,"WARNING","OK")))</f>
        <v/>
      </c>
    </row>
    <row r="921">
      <c r="B921" s="7" t="n"/>
      <c r="C921" s="7" t="n"/>
      <c r="D921" s="7">
        <f>IF(OR(B921="",C921=""),"",B921+C921)</f>
        <v/>
      </c>
      <c r="E921" s="7">
        <f>IF(D921="","",MAX($D$2:D921))</f>
        <v/>
      </c>
      <c r="F921" s="7">
        <f>IF(OR(E921="",D921=""),"",E921-D921)</f>
        <v/>
      </c>
      <c r="G921" s="8">
        <f>IF(OR(E921="",F921="",E921=0),"",F921/E921)</f>
        <v/>
      </c>
      <c r="H921" s="7" t="n"/>
      <c r="I921" s="7">
        <f>IF(OR(H921="",F921=""),"",H921-F921)</f>
        <v/>
      </c>
      <c r="J921">
        <f>IF(I921="","",IF(I921&lt;=0,"BREACH",IF(I921&lt;=500,"WARNING","OK")))</f>
        <v/>
      </c>
    </row>
    <row r="922">
      <c r="B922" s="7" t="n"/>
      <c r="C922" s="7" t="n"/>
      <c r="D922" s="7">
        <f>IF(OR(B922="",C922=""),"",B922+C922)</f>
        <v/>
      </c>
      <c r="E922" s="7">
        <f>IF(D922="","",MAX($D$2:D922))</f>
        <v/>
      </c>
      <c r="F922" s="7">
        <f>IF(OR(E922="",D922=""),"",E922-D922)</f>
        <v/>
      </c>
      <c r="G922" s="8">
        <f>IF(OR(E922="",F922="",E922=0),"",F922/E922)</f>
        <v/>
      </c>
      <c r="H922" s="7" t="n"/>
      <c r="I922" s="7">
        <f>IF(OR(H922="",F922=""),"",H922-F922)</f>
        <v/>
      </c>
      <c r="J922">
        <f>IF(I922="","",IF(I922&lt;=0,"BREACH",IF(I922&lt;=500,"WARNING","OK")))</f>
        <v/>
      </c>
    </row>
    <row r="923">
      <c r="B923" s="7" t="n"/>
      <c r="C923" s="7" t="n"/>
      <c r="D923" s="7">
        <f>IF(OR(B923="",C923=""),"",B923+C923)</f>
        <v/>
      </c>
      <c r="E923" s="7">
        <f>IF(D923="","",MAX($D$2:D923))</f>
        <v/>
      </c>
      <c r="F923" s="7">
        <f>IF(OR(E923="",D923=""),"",E923-D923)</f>
        <v/>
      </c>
      <c r="G923" s="8">
        <f>IF(OR(E923="",F923="",E923=0),"",F923/E923)</f>
        <v/>
      </c>
      <c r="H923" s="7" t="n"/>
      <c r="I923" s="7">
        <f>IF(OR(H923="",F923=""),"",H923-F923)</f>
        <v/>
      </c>
      <c r="J923">
        <f>IF(I923="","",IF(I923&lt;=0,"BREACH",IF(I923&lt;=500,"WARNING","OK")))</f>
        <v/>
      </c>
    </row>
    <row r="924">
      <c r="B924" s="7" t="n"/>
      <c r="C924" s="7" t="n"/>
      <c r="D924" s="7">
        <f>IF(OR(B924="",C924=""),"",B924+C924)</f>
        <v/>
      </c>
      <c r="E924" s="7">
        <f>IF(D924="","",MAX($D$2:D924))</f>
        <v/>
      </c>
      <c r="F924" s="7">
        <f>IF(OR(E924="",D924=""),"",E924-D924)</f>
        <v/>
      </c>
      <c r="G924" s="8">
        <f>IF(OR(E924="",F924="",E924=0),"",F924/E924)</f>
        <v/>
      </c>
      <c r="H924" s="7" t="n"/>
      <c r="I924" s="7">
        <f>IF(OR(H924="",F924=""),"",H924-F924)</f>
        <v/>
      </c>
      <c r="J924">
        <f>IF(I924="","",IF(I924&lt;=0,"BREACH",IF(I924&lt;=500,"WARNING","OK")))</f>
        <v/>
      </c>
    </row>
    <row r="925">
      <c r="B925" s="7" t="n"/>
      <c r="C925" s="7" t="n"/>
      <c r="D925" s="7">
        <f>IF(OR(B925="",C925=""),"",B925+C925)</f>
        <v/>
      </c>
      <c r="E925" s="7">
        <f>IF(D925="","",MAX($D$2:D925))</f>
        <v/>
      </c>
      <c r="F925" s="7">
        <f>IF(OR(E925="",D925=""),"",E925-D925)</f>
        <v/>
      </c>
      <c r="G925" s="8">
        <f>IF(OR(E925="",F925="",E925=0),"",F925/E925)</f>
        <v/>
      </c>
      <c r="H925" s="7" t="n"/>
      <c r="I925" s="7">
        <f>IF(OR(H925="",F925=""),"",H925-F925)</f>
        <v/>
      </c>
      <c r="J925">
        <f>IF(I925="","",IF(I925&lt;=0,"BREACH",IF(I925&lt;=500,"WARNING","OK")))</f>
        <v/>
      </c>
    </row>
    <row r="926">
      <c r="B926" s="7" t="n"/>
      <c r="C926" s="7" t="n"/>
      <c r="D926" s="7">
        <f>IF(OR(B926="",C926=""),"",B926+C926)</f>
        <v/>
      </c>
      <c r="E926" s="7">
        <f>IF(D926="","",MAX($D$2:D926))</f>
        <v/>
      </c>
      <c r="F926" s="7">
        <f>IF(OR(E926="",D926=""),"",E926-D926)</f>
        <v/>
      </c>
      <c r="G926" s="8">
        <f>IF(OR(E926="",F926="",E926=0),"",F926/E926)</f>
        <v/>
      </c>
      <c r="H926" s="7" t="n"/>
      <c r="I926" s="7">
        <f>IF(OR(H926="",F926=""),"",H926-F926)</f>
        <v/>
      </c>
      <c r="J926">
        <f>IF(I926="","",IF(I926&lt;=0,"BREACH",IF(I926&lt;=500,"WARNING","OK")))</f>
        <v/>
      </c>
    </row>
    <row r="927">
      <c r="B927" s="7" t="n"/>
      <c r="C927" s="7" t="n"/>
      <c r="D927" s="7">
        <f>IF(OR(B927="",C927=""),"",B927+C927)</f>
        <v/>
      </c>
      <c r="E927" s="7">
        <f>IF(D927="","",MAX($D$2:D927))</f>
        <v/>
      </c>
      <c r="F927" s="7">
        <f>IF(OR(E927="",D927=""),"",E927-D927)</f>
        <v/>
      </c>
      <c r="G927" s="8">
        <f>IF(OR(E927="",F927="",E927=0),"",F927/E927)</f>
        <v/>
      </c>
      <c r="H927" s="7" t="n"/>
      <c r="I927" s="7">
        <f>IF(OR(H927="",F927=""),"",H927-F927)</f>
        <v/>
      </c>
      <c r="J927">
        <f>IF(I927="","",IF(I927&lt;=0,"BREACH",IF(I927&lt;=500,"WARNING","OK")))</f>
        <v/>
      </c>
    </row>
    <row r="928">
      <c r="B928" s="7" t="n"/>
      <c r="C928" s="7" t="n"/>
      <c r="D928" s="7">
        <f>IF(OR(B928="",C928=""),"",B928+C928)</f>
        <v/>
      </c>
      <c r="E928" s="7">
        <f>IF(D928="","",MAX($D$2:D928))</f>
        <v/>
      </c>
      <c r="F928" s="7">
        <f>IF(OR(E928="",D928=""),"",E928-D928)</f>
        <v/>
      </c>
      <c r="G928" s="8">
        <f>IF(OR(E928="",F928="",E928=0),"",F928/E928)</f>
        <v/>
      </c>
      <c r="H928" s="7" t="n"/>
      <c r="I928" s="7">
        <f>IF(OR(H928="",F928=""),"",H928-F928)</f>
        <v/>
      </c>
      <c r="J928">
        <f>IF(I928="","",IF(I928&lt;=0,"BREACH",IF(I928&lt;=500,"WARNING","OK")))</f>
        <v/>
      </c>
    </row>
    <row r="929">
      <c r="B929" s="7" t="n"/>
      <c r="C929" s="7" t="n"/>
      <c r="D929" s="7">
        <f>IF(OR(B929="",C929=""),"",B929+C929)</f>
        <v/>
      </c>
      <c r="E929" s="7">
        <f>IF(D929="","",MAX($D$2:D929))</f>
        <v/>
      </c>
      <c r="F929" s="7">
        <f>IF(OR(E929="",D929=""),"",E929-D929)</f>
        <v/>
      </c>
      <c r="G929" s="8">
        <f>IF(OR(E929="",F929="",E929=0),"",F929/E929)</f>
        <v/>
      </c>
      <c r="H929" s="7" t="n"/>
      <c r="I929" s="7">
        <f>IF(OR(H929="",F929=""),"",H929-F929)</f>
        <v/>
      </c>
      <c r="J929">
        <f>IF(I929="","",IF(I929&lt;=0,"BREACH",IF(I929&lt;=500,"WARNING","OK")))</f>
        <v/>
      </c>
    </row>
    <row r="930">
      <c r="B930" s="7" t="n"/>
      <c r="C930" s="7" t="n"/>
      <c r="D930" s="7">
        <f>IF(OR(B930="",C930=""),"",B930+C930)</f>
        <v/>
      </c>
      <c r="E930" s="7">
        <f>IF(D930="","",MAX($D$2:D930))</f>
        <v/>
      </c>
      <c r="F930" s="7">
        <f>IF(OR(E930="",D930=""),"",E930-D930)</f>
        <v/>
      </c>
      <c r="G930" s="8">
        <f>IF(OR(E930="",F930="",E930=0),"",F930/E930)</f>
        <v/>
      </c>
      <c r="H930" s="7" t="n"/>
      <c r="I930" s="7">
        <f>IF(OR(H930="",F930=""),"",H930-F930)</f>
        <v/>
      </c>
      <c r="J930">
        <f>IF(I930="","",IF(I930&lt;=0,"BREACH",IF(I930&lt;=500,"WARNING","OK")))</f>
        <v/>
      </c>
    </row>
    <row r="931">
      <c r="B931" s="7" t="n"/>
      <c r="C931" s="7" t="n"/>
      <c r="D931" s="7">
        <f>IF(OR(B931="",C931=""),"",B931+C931)</f>
        <v/>
      </c>
      <c r="E931" s="7">
        <f>IF(D931="","",MAX($D$2:D931))</f>
        <v/>
      </c>
      <c r="F931" s="7">
        <f>IF(OR(E931="",D931=""),"",E931-D931)</f>
        <v/>
      </c>
      <c r="G931" s="8">
        <f>IF(OR(E931="",F931="",E931=0),"",F931/E931)</f>
        <v/>
      </c>
      <c r="H931" s="7" t="n"/>
      <c r="I931" s="7">
        <f>IF(OR(H931="",F931=""),"",H931-F931)</f>
        <v/>
      </c>
      <c r="J931">
        <f>IF(I931="","",IF(I931&lt;=0,"BREACH",IF(I931&lt;=500,"WARNING","OK")))</f>
        <v/>
      </c>
    </row>
    <row r="932">
      <c r="B932" s="7" t="n"/>
      <c r="C932" s="7" t="n"/>
      <c r="D932" s="7">
        <f>IF(OR(B932="",C932=""),"",B932+C932)</f>
        <v/>
      </c>
      <c r="E932" s="7">
        <f>IF(D932="","",MAX($D$2:D932))</f>
        <v/>
      </c>
      <c r="F932" s="7">
        <f>IF(OR(E932="",D932=""),"",E932-D932)</f>
        <v/>
      </c>
      <c r="G932" s="8">
        <f>IF(OR(E932="",F932="",E932=0),"",F932/E932)</f>
        <v/>
      </c>
      <c r="H932" s="7" t="n"/>
      <c r="I932" s="7">
        <f>IF(OR(H932="",F932=""),"",H932-F932)</f>
        <v/>
      </c>
      <c r="J932">
        <f>IF(I932="","",IF(I932&lt;=0,"BREACH",IF(I932&lt;=500,"WARNING","OK")))</f>
        <v/>
      </c>
    </row>
    <row r="933">
      <c r="B933" s="7" t="n"/>
      <c r="C933" s="7" t="n"/>
      <c r="D933" s="7">
        <f>IF(OR(B933="",C933=""),"",B933+C933)</f>
        <v/>
      </c>
      <c r="E933" s="7">
        <f>IF(D933="","",MAX($D$2:D933))</f>
        <v/>
      </c>
      <c r="F933" s="7">
        <f>IF(OR(E933="",D933=""),"",E933-D933)</f>
        <v/>
      </c>
      <c r="G933" s="8">
        <f>IF(OR(E933="",F933="",E933=0),"",F933/E933)</f>
        <v/>
      </c>
      <c r="H933" s="7" t="n"/>
      <c r="I933" s="7">
        <f>IF(OR(H933="",F933=""),"",H933-F933)</f>
        <v/>
      </c>
      <c r="J933">
        <f>IF(I933="","",IF(I933&lt;=0,"BREACH",IF(I933&lt;=500,"WARNING","OK")))</f>
        <v/>
      </c>
    </row>
    <row r="934">
      <c r="B934" s="7" t="n"/>
      <c r="C934" s="7" t="n"/>
      <c r="D934" s="7">
        <f>IF(OR(B934="",C934=""),"",B934+C934)</f>
        <v/>
      </c>
      <c r="E934" s="7">
        <f>IF(D934="","",MAX($D$2:D934))</f>
        <v/>
      </c>
      <c r="F934" s="7">
        <f>IF(OR(E934="",D934=""),"",E934-D934)</f>
        <v/>
      </c>
      <c r="G934" s="8">
        <f>IF(OR(E934="",F934="",E934=0),"",F934/E934)</f>
        <v/>
      </c>
      <c r="H934" s="7" t="n"/>
      <c r="I934" s="7">
        <f>IF(OR(H934="",F934=""),"",H934-F934)</f>
        <v/>
      </c>
      <c r="J934">
        <f>IF(I934="","",IF(I934&lt;=0,"BREACH",IF(I934&lt;=500,"WARNING","OK")))</f>
        <v/>
      </c>
    </row>
    <row r="935">
      <c r="B935" s="7" t="n"/>
      <c r="C935" s="7" t="n"/>
      <c r="D935" s="7">
        <f>IF(OR(B935="",C935=""),"",B935+C935)</f>
        <v/>
      </c>
      <c r="E935" s="7">
        <f>IF(D935="","",MAX($D$2:D935))</f>
        <v/>
      </c>
      <c r="F935" s="7">
        <f>IF(OR(E935="",D935=""),"",E935-D935)</f>
        <v/>
      </c>
      <c r="G935" s="8">
        <f>IF(OR(E935="",F935="",E935=0),"",F935/E935)</f>
        <v/>
      </c>
      <c r="H935" s="7" t="n"/>
      <c r="I935" s="7">
        <f>IF(OR(H935="",F935=""),"",H935-F935)</f>
        <v/>
      </c>
      <c r="J935">
        <f>IF(I935="","",IF(I935&lt;=0,"BREACH",IF(I935&lt;=500,"WARNING","OK")))</f>
        <v/>
      </c>
    </row>
    <row r="936">
      <c r="B936" s="7" t="n"/>
      <c r="C936" s="7" t="n"/>
      <c r="D936" s="7">
        <f>IF(OR(B936="",C936=""),"",B936+C936)</f>
        <v/>
      </c>
      <c r="E936" s="7">
        <f>IF(D936="","",MAX($D$2:D936))</f>
        <v/>
      </c>
      <c r="F936" s="7">
        <f>IF(OR(E936="",D936=""),"",E936-D936)</f>
        <v/>
      </c>
      <c r="G936" s="8">
        <f>IF(OR(E936="",F936="",E936=0),"",F936/E936)</f>
        <v/>
      </c>
      <c r="H936" s="7" t="n"/>
      <c r="I936" s="7">
        <f>IF(OR(H936="",F936=""),"",H936-F936)</f>
        <v/>
      </c>
      <c r="J936">
        <f>IF(I936="","",IF(I936&lt;=0,"BREACH",IF(I936&lt;=500,"WARNING","OK")))</f>
        <v/>
      </c>
    </row>
    <row r="937">
      <c r="B937" s="7" t="n"/>
      <c r="C937" s="7" t="n"/>
      <c r="D937" s="7">
        <f>IF(OR(B937="",C937=""),"",B937+C937)</f>
        <v/>
      </c>
      <c r="E937" s="7">
        <f>IF(D937="","",MAX($D$2:D937))</f>
        <v/>
      </c>
      <c r="F937" s="7">
        <f>IF(OR(E937="",D937=""),"",E937-D937)</f>
        <v/>
      </c>
      <c r="G937" s="8">
        <f>IF(OR(E937="",F937="",E937=0),"",F937/E937)</f>
        <v/>
      </c>
      <c r="H937" s="7" t="n"/>
      <c r="I937" s="7">
        <f>IF(OR(H937="",F937=""),"",H937-F937)</f>
        <v/>
      </c>
      <c r="J937">
        <f>IF(I937="","",IF(I937&lt;=0,"BREACH",IF(I937&lt;=500,"WARNING","OK")))</f>
        <v/>
      </c>
    </row>
    <row r="938">
      <c r="B938" s="7" t="n"/>
      <c r="C938" s="7" t="n"/>
      <c r="D938" s="7">
        <f>IF(OR(B938="",C938=""),"",B938+C938)</f>
        <v/>
      </c>
      <c r="E938" s="7">
        <f>IF(D938="","",MAX($D$2:D938))</f>
        <v/>
      </c>
      <c r="F938" s="7">
        <f>IF(OR(E938="",D938=""),"",E938-D938)</f>
        <v/>
      </c>
      <c r="G938" s="8">
        <f>IF(OR(E938="",F938="",E938=0),"",F938/E938)</f>
        <v/>
      </c>
      <c r="H938" s="7" t="n"/>
      <c r="I938" s="7">
        <f>IF(OR(H938="",F938=""),"",H938-F938)</f>
        <v/>
      </c>
      <c r="J938">
        <f>IF(I938="","",IF(I938&lt;=0,"BREACH",IF(I938&lt;=500,"WARNING","OK")))</f>
        <v/>
      </c>
    </row>
    <row r="939">
      <c r="B939" s="7" t="n"/>
      <c r="C939" s="7" t="n"/>
      <c r="D939" s="7">
        <f>IF(OR(B939="",C939=""),"",B939+C939)</f>
        <v/>
      </c>
      <c r="E939" s="7">
        <f>IF(D939="","",MAX($D$2:D939))</f>
        <v/>
      </c>
      <c r="F939" s="7">
        <f>IF(OR(E939="",D939=""),"",E939-D939)</f>
        <v/>
      </c>
      <c r="G939" s="8">
        <f>IF(OR(E939="",F939="",E939=0),"",F939/E939)</f>
        <v/>
      </c>
      <c r="H939" s="7" t="n"/>
      <c r="I939" s="7">
        <f>IF(OR(H939="",F939=""),"",H939-F939)</f>
        <v/>
      </c>
      <c r="J939">
        <f>IF(I939="","",IF(I939&lt;=0,"BREACH",IF(I939&lt;=500,"WARNING","OK")))</f>
        <v/>
      </c>
    </row>
    <row r="940">
      <c r="B940" s="7" t="n"/>
      <c r="C940" s="7" t="n"/>
      <c r="D940" s="7">
        <f>IF(OR(B940="",C940=""),"",B940+C940)</f>
        <v/>
      </c>
      <c r="E940" s="7">
        <f>IF(D940="","",MAX($D$2:D940))</f>
        <v/>
      </c>
      <c r="F940" s="7">
        <f>IF(OR(E940="",D940=""),"",E940-D940)</f>
        <v/>
      </c>
      <c r="G940" s="8">
        <f>IF(OR(E940="",F940="",E940=0),"",F940/E940)</f>
        <v/>
      </c>
      <c r="H940" s="7" t="n"/>
      <c r="I940" s="7">
        <f>IF(OR(H940="",F940=""),"",H940-F940)</f>
        <v/>
      </c>
      <c r="J940">
        <f>IF(I940="","",IF(I940&lt;=0,"BREACH",IF(I940&lt;=500,"WARNING","OK")))</f>
        <v/>
      </c>
    </row>
    <row r="941">
      <c r="B941" s="7" t="n"/>
      <c r="C941" s="7" t="n"/>
      <c r="D941" s="7">
        <f>IF(OR(B941="",C941=""),"",B941+C941)</f>
        <v/>
      </c>
      <c r="E941" s="7">
        <f>IF(D941="","",MAX($D$2:D941))</f>
        <v/>
      </c>
      <c r="F941" s="7">
        <f>IF(OR(E941="",D941=""),"",E941-D941)</f>
        <v/>
      </c>
      <c r="G941" s="8">
        <f>IF(OR(E941="",F941="",E941=0),"",F941/E941)</f>
        <v/>
      </c>
      <c r="H941" s="7" t="n"/>
      <c r="I941" s="7">
        <f>IF(OR(H941="",F941=""),"",H941-F941)</f>
        <v/>
      </c>
      <c r="J941">
        <f>IF(I941="","",IF(I941&lt;=0,"BREACH",IF(I941&lt;=500,"WARNING","OK")))</f>
        <v/>
      </c>
    </row>
    <row r="942">
      <c r="B942" s="7" t="n"/>
      <c r="C942" s="7" t="n"/>
      <c r="D942" s="7">
        <f>IF(OR(B942="",C942=""),"",B942+C942)</f>
        <v/>
      </c>
      <c r="E942" s="7">
        <f>IF(D942="","",MAX($D$2:D942))</f>
        <v/>
      </c>
      <c r="F942" s="7">
        <f>IF(OR(E942="",D942=""),"",E942-D942)</f>
        <v/>
      </c>
      <c r="G942" s="8">
        <f>IF(OR(E942="",F942="",E942=0),"",F942/E942)</f>
        <v/>
      </c>
      <c r="H942" s="7" t="n"/>
      <c r="I942" s="7">
        <f>IF(OR(H942="",F942=""),"",H942-F942)</f>
        <v/>
      </c>
      <c r="J942">
        <f>IF(I942="","",IF(I942&lt;=0,"BREACH",IF(I942&lt;=500,"WARNING","OK")))</f>
        <v/>
      </c>
    </row>
    <row r="943">
      <c r="B943" s="7" t="n"/>
      <c r="C943" s="7" t="n"/>
      <c r="D943" s="7">
        <f>IF(OR(B943="",C943=""),"",B943+C943)</f>
        <v/>
      </c>
      <c r="E943" s="7">
        <f>IF(D943="","",MAX($D$2:D943))</f>
        <v/>
      </c>
      <c r="F943" s="7">
        <f>IF(OR(E943="",D943=""),"",E943-D943)</f>
        <v/>
      </c>
      <c r="G943" s="8">
        <f>IF(OR(E943="",F943="",E943=0),"",F943/E943)</f>
        <v/>
      </c>
      <c r="H943" s="7" t="n"/>
      <c r="I943" s="7">
        <f>IF(OR(H943="",F943=""),"",H943-F943)</f>
        <v/>
      </c>
      <c r="J943">
        <f>IF(I943="","",IF(I943&lt;=0,"BREACH",IF(I943&lt;=500,"WARNING","OK")))</f>
        <v/>
      </c>
    </row>
    <row r="944">
      <c r="B944" s="7" t="n"/>
      <c r="C944" s="7" t="n"/>
      <c r="D944" s="7">
        <f>IF(OR(B944="",C944=""),"",B944+C944)</f>
        <v/>
      </c>
      <c r="E944" s="7">
        <f>IF(D944="","",MAX($D$2:D944))</f>
        <v/>
      </c>
      <c r="F944" s="7">
        <f>IF(OR(E944="",D944=""),"",E944-D944)</f>
        <v/>
      </c>
      <c r="G944" s="8">
        <f>IF(OR(E944="",F944="",E944=0),"",F944/E944)</f>
        <v/>
      </c>
      <c r="H944" s="7" t="n"/>
      <c r="I944" s="7">
        <f>IF(OR(H944="",F944=""),"",H944-F944)</f>
        <v/>
      </c>
      <c r="J944">
        <f>IF(I944="","",IF(I944&lt;=0,"BREACH",IF(I944&lt;=500,"WARNING","OK")))</f>
        <v/>
      </c>
    </row>
    <row r="945">
      <c r="B945" s="7" t="n"/>
      <c r="C945" s="7" t="n"/>
      <c r="D945" s="7">
        <f>IF(OR(B945="",C945=""),"",B945+C945)</f>
        <v/>
      </c>
      <c r="E945" s="7">
        <f>IF(D945="","",MAX($D$2:D945))</f>
        <v/>
      </c>
      <c r="F945" s="7">
        <f>IF(OR(E945="",D945=""),"",E945-D945)</f>
        <v/>
      </c>
      <c r="G945" s="8">
        <f>IF(OR(E945="",F945="",E945=0),"",F945/E945)</f>
        <v/>
      </c>
      <c r="H945" s="7" t="n"/>
      <c r="I945" s="7">
        <f>IF(OR(H945="",F945=""),"",H945-F945)</f>
        <v/>
      </c>
      <c r="J945">
        <f>IF(I945="","",IF(I945&lt;=0,"BREACH",IF(I945&lt;=500,"WARNING","OK")))</f>
        <v/>
      </c>
    </row>
    <row r="946">
      <c r="B946" s="7" t="n"/>
      <c r="C946" s="7" t="n"/>
      <c r="D946" s="7">
        <f>IF(OR(B946="",C946=""),"",B946+C946)</f>
        <v/>
      </c>
      <c r="E946" s="7">
        <f>IF(D946="","",MAX($D$2:D946))</f>
        <v/>
      </c>
      <c r="F946" s="7">
        <f>IF(OR(E946="",D946=""),"",E946-D946)</f>
        <v/>
      </c>
      <c r="G946" s="8">
        <f>IF(OR(E946="",F946="",E946=0),"",F946/E946)</f>
        <v/>
      </c>
      <c r="H946" s="7" t="n"/>
      <c r="I946" s="7">
        <f>IF(OR(H946="",F946=""),"",H946-F946)</f>
        <v/>
      </c>
      <c r="J946">
        <f>IF(I946="","",IF(I946&lt;=0,"BREACH",IF(I946&lt;=500,"WARNING","OK")))</f>
        <v/>
      </c>
    </row>
    <row r="947">
      <c r="B947" s="7" t="n"/>
      <c r="C947" s="7" t="n"/>
      <c r="D947" s="7">
        <f>IF(OR(B947="",C947=""),"",B947+C947)</f>
        <v/>
      </c>
      <c r="E947" s="7">
        <f>IF(D947="","",MAX($D$2:D947))</f>
        <v/>
      </c>
      <c r="F947" s="7">
        <f>IF(OR(E947="",D947=""),"",E947-D947)</f>
        <v/>
      </c>
      <c r="G947" s="8">
        <f>IF(OR(E947="",F947="",E947=0),"",F947/E947)</f>
        <v/>
      </c>
      <c r="H947" s="7" t="n"/>
      <c r="I947" s="7">
        <f>IF(OR(H947="",F947=""),"",H947-F947)</f>
        <v/>
      </c>
      <c r="J947">
        <f>IF(I947="","",IF(I947&lt;=0,"BREACH",IF(I947&lt;=500,"WARNING","OK")))</f>
        <v/>
      </c>
    </row>
    <row r="948">
      <c r="B948" s="7" t="n"/>
      <c r="C948" s="7" t="n"/>
      <c r="D948" s="7">
        <f>IF(OR(B948="",C948=""),"",B948+C948)</f>
        <v/>
      </c>
      <c r="E948" s="7">
        <f>IF(D948="","",MAX($D$2:D948))</f>
        <v/>
      </c>
      <c r="F948" s="7">
        <f>IF(OR(E948="",D948=""),"",E948-D948)</f>
        <v/>
      </c>
      <c r="G948" s="8">
        <f>IF(OR(E948="",F948="",E948=0),"",F948/E948)</f>
        <v/>
      </c>
      <c r="H948" s="7" t="n"/>
      <c r="I948" s="7">
        <f>IF(OR(H948="",F948=""),"",H948-F948)</f>
        <v/>
      </c>
      <c r="J948">
        <f>IF(I948="","",IF(I948&lt;=0,"BREACH",IF(I948&lt;=500,"WARNING","OK")))</f>
        <v/>
      </c>
    </row>
    <row r="949">
      <c r="B949" s="7" t="n"/>
      <c r="C949" s="7" t="n"/>
      <c r="D949" s="7">
        <f>IF(OR(B949="",C949=""),"",B949+C949)</f>
        <v/>
      </c>
      <c r="E949" s="7">
        <f>IF(D949="","",MAX($D$2:D949))</f>
        <v/>
      </c>
      <c r="F949" s="7">
        <f>IF(OR(E949="",D949=""),"",E949-D949)</f>
        <v/>
      </c>
      <c r="G949" s="8">
        <f>IF(OR(E949="",F949="",E949=0),"",F949/E949)</f>
        <v/>
      </c>
      <c r="H949" s="7" t="n"/>
      <c r="I949" s="7">
        <f>IF(OR(H949="",F949=""),"",H949-F949)</f>
        <v/>
      </c>
      <c r="J949">
        <f>IF(I949="","",IF(I949&lt;=0,"BREACH",IF(I949&lt;=500,"WARNING","OK")))</f>
        <v/>
      </c>
    </row>
    <row r="950">
      <c r="B950" s="7" t="n"/>
      <c r="C950" s="7" t="n"/>
      <c r="D950" s="7">
        <f>IF(OR(B950="",C950=""),"",B950+C950)</f>
        <v/>
      </c>
      <c r="E950" s="7">
        <f>IF(D950="","",MAX($D$2:D950))</f>
        <v/>
      </c>
      <c r="F950" s="7">
        <f>IF(OR(E950="",D950=""),"",E950-D950)</f>
        <v/>
      </c>
      <c r="G950" s="8">
        <f>IF(OR(E950="",F950="",E950=0),"",F950/E950)</f>
        <v/>
      </c>
      <c r="H950" s="7" t="n"/>
      <c r="I950" s="7">
        <f>IF(OR(H950="",F950=""),"",H950-F950)</f>
        <v/>
      </c>
      <c r="J950">
        <f>IF(I950="","",IF(I950&lt;=0,"BREACH",IF(I950&lt;=500,"WARNING","OK")))</f>
        <v/>
      </c>
    </row>
    <row r="951">
      <c r="B951" s="7" t="n"/>
      <c r="C951" s="7" t="n"/>
      <c r="D951" s="7">
        <f>IF(OR(B951="",C951=""),"",B951+C951)</f>
        <v/>
      </c>
      <c r="E951" s="7">
        <f>IF(D951="","",MAX($D$2:D951))</f>
        <v/>
      </c>
      <c r="F951" s="7">
        <f>IF(OR(E951="",D951=""),"",E951-D951)</f>
        <v/>
      </c>
      <c r="G951" s="8">
        <f>IF(OR(E951="",F951="",E951=0),"",F951/E951)</f>
        <v/>
      </c>
      <c r="H951" s="7" t="n"/>
      <c r="I951" s="7">
        <f>IF(OR(H951="",F951=""),"",H951-F951)</f>
        <v/>
      </c>
      <c r="J951">
        <f>IF(I951="","",IF(I951&lt;=0,"BREACH",IF(I951&lt;=500,"WARNING","OK")))</f>
        <v/>
      </c>
    </row>
    <row r="952">
      <c r="B952" s="7" t="n"/>
      <c r="C952" s="7" t="n"/>
      <c r="D952" s="7">
        <f>IF(OR(B952="",C952=""),"",B952+C952)</f>
        <v/>
      </c>
      <c r="E952" s="7">
        <f>IF(D952="","",MAX($D$2:D952))</f>
        <v/>
      </c>
      <c r="F952" s="7">
        <f>IF(OR(E952="",D952=""),"",E952-D952)</f>
        <v/>
      </c>
      <c r="G952" s="8">
        <f>IF(OR(E952="",F952="",E952=0),"",F952/E952)</f>
        <v/>
      </c>
      <c r="H952" s="7" t="n"/>
      <c r="I952" s="7">
        <f>IF(OR(H952="",F952=""),"",H952-F952)</f>
        <v/>
      </c>
      <c r="J952">
        <f>IF(I952="","",IF(I952&lt;=0,"BREACH",IF(I952&lt;=500,"WARNING","OK")))</f>
        <v/>
      </c>
    </row>
    <row r="953">
      <c r="B953" s="7" t="n"/>
      <c r="C953" s="7" t="n"/>
      <c r="D953" s="7">
        <f>IF(OR(B953="",C953=""),"",B953+C953)</f>
        <v/>
      </c>
      <c r="E953" s="7">
        <f>IF(D953="","",MAX($D$2:D953))</f>
        <v/>
      </c>
      <c r="F953" s="7">
        <f>IF(OR(E953="",D953=""),"",E953-D953)</f>
        <v/>
      </c>
      <c r="G953" s="8">
        <f>IF(OR(E953="",F953="",E953=0),"",F953/E953)</f>
        <v/>
      </c>
      <c r="H953" s="7" t="n"/>
      <c r="I953" s="7">
        <f>IF(OR(H953="",F953=""),"",H953-F953)</f>
        <v/>
      </c>
      <c r="J953">
        <f>IF(I953="","",IF(I953&lt;=0,"BREACH",IF(I953&lt;=500,"WARNING","OK")))</f>
        <v/>
      </c>
    </row>
    <row r="954">
      <c r="B954" s="7" t="n"/>
      <c r="C954" s="7" t="n"/>
      <c r="D954" s="7">
        <f>IF(OR(B954="",C954=""),"",B954+C954)</f>
        <v/>
      </c>
      <c r="E954" s="7">
        <f>IF(D954="","",MAX($D$2:D954))</f>
        <v/>
      </c>
      <c r="F954" s="7">
        <f>IF(OR(E954="",D954=""),"",E954-D954)</f>
        <v/>
      </c>
      <c r="G954" s="8">
        <f>IF(OR(E954="",F954="",E954=0),"",F954/E954)</f>
        <v/>
      </c>
      <c r="H954" s="7" t="n"/>
      <c r="I954" s="7">
        <f>IF(OR(H954="",F954=""),"",H954-F954)</f>
        <v/>
      </c>
      <c r="J954">
        <f>IF(I954="","",IF(I954&lt;=0,"BREACH",IF(I954&lt;=500,"WARNING","OK")))</f>
        <v/>
      </c>
    </row>
    <row r="955">
      <c r="B955" s="7" t="n"/>
      <c r="C955" s="7" t="n"/>
      <c r="D955" s="7">
        <f>IF(OR(B955="",C955=""),"",B955+C955)</f>
        <v/>
      </c>
      <c r="E955" s="7">
        <f>IF(D955="","",MAX($D$2:D955))</f>
        <v/>
      </c>
      <c r="F955" s="7">
        <f>IF(OR(E955="",D955=""),"",E955-D955)</f>
        <v/>
      </c>
      <c r="G955" s="8">
        <f>IF(OR(E955="",F955="",E955=0),"",F955/E955)</f>
        <v/>
      </c>
      <c r="H955" s="7" t="n"/>
      <c r="I955" s="7">
        <f>IF(OR(H955="",F955=""),"",H955-F955)</f>
        <v/>
      </c>
      <c r="J955">
        <f>IF(I955="","",IF(I955&lt;=0,"BREACH",IF(I955&lt;=500,"WARNING","OK")))</f>
        <v/>
      </c>
    </row>
    <row r="956">
      <c r="B956" s="7" t="n"/>
      <c r="C956" s="7" t="n"/>
      <c r="D956" s="7">
        <f>IF(OR(B956="",C956=""),"",B956+C956)</f>
        <v/>
      </c>
      <c r="E956" s="7">
        <f>IF(D956="","",MAX($D$2:D956))</f>
        <v/>
      </c>
      <c r="F956" s="7">
        <f>IF(OR(E956="",D956=""),"",E956-D956)</f>
        <v/>
      </c>
      <c r="G956" s="8">
        <f>IF(OR(E956="",F956="",E956=0),"",F956/E956)</f>
        <v/>
      </c>
      <c r="H956" s="7" t="n"/>
      <c r="I956" s="7">
        <f>IF(OR(H956="",F956=""),"",H956-F956)</f>
        <v/>
      </c>
      <c r="J956">
        <f>IF(I956="","",IF(I956&lt;=0,"BREACH",IF(I956&lt;=500,"WARNING","OK")))</f>
        <v/>
      </c>
    </row>
    <row r="957">
      <c r="B957" s="7" t="n"/>
      <c r="C957" s="7" t="n"/>
      <c r="D957" s="7">
        <f>IF(OR(B957="",C957=""),"",B957+C957)</f>
        <v/>
      </c>
      <c r="E957" s="7">
        <f>IF(D957="","",MAX($D$2:D957))</f>
        <v/>
      </c>
      <c r="F957" s="7">
        <f>IF(OR(E957="",D957=""),"",E957-D957)</f>
        <v/>
      </c>
      <c r="G957" s="8">
        <f>IF(OR(E957="",F957="",E957=0),"",F957/E957)</f>
        <v/>
      </c>
      <c r="H957" s="7" t="n"/>
      <c r="I957" s="7">
        <f>IF(OR(H957="",F957=""),"",H957-F957)</f>
        <v/>
      </c>
      <c r="J957">
        <f>IF(I957="","",IF(I957&lt;=0,"BREACH",IF(I957&lt;=500,"WARNING","OK")))</f>
        <v/>
      </c>
    </row>
    <row r="958">
      <c r="B958" s="7" t="n"/>
      <c r="C958" s="7" t="n"/>
      <c r="D958" s="7">
        <f>IF(OR(B958="",C958=""),"",B958+C958)</f>
        <v/>
      </c>
      <c r="E958" s="7">
        <f>IF(D958="","",MAX($D$2:D958))</f>
        <v/>
      </c>
      <c r="F958" s="7">
        <f>IF(OR(E958="",D958=""),"",E958-D958)</f>
        <v/>
      </c>
      <c r="G958" s="8">
        <f>IF(OR(E958="",F958="",E958=0),"",F958/E958)</f>
        <v/>
      </c>
      <c r="H958" s="7" t="n"/>
      <c r="I958" s="7">
        <f>IF(OR(H958="",F958=""),"",H958-F958)</f>
        <v/>
      </c>
      <c r="J958">
        <f>IF(I958="","",IF(I958&lt;=0,"BREACH",IF(I958&lt;=500,"WARNING","OK")))</f>
        <v/>
      </c>
    </row>
    <row r="959">
      <c r="B959" s="7" t="n"/>
      <c r="C959" s="7" t="n"/>
      <c r="D959" s="7">
        <f>IF(OR(B959="",C959=""),"",B959+C959)</f>
        <v/>
      </c>
      <c r="E959" s="7">
        <f>IF(D959="","",MAX($D$2:D959))</f>
        <v/>
      </c>
      <c r="F959" s="7">
        <f>IF(OR(E959="",D959=""),"",E959-D959)</f>
        <v/>
      </c>
      <c r="G959" s="8">
        <f>IF(OR(E959="",F959="",E959=0),"",F959/E959)</f>
        <v/>
      </c>
      <c r="H959" s="7" t="n"/>
      <c r="I959" s="7">
        <f>IF(OR(H959="",F959=""),"",H959-F959)</f>
        <v/>
      </c>
      <c r="J959">
        <f>IF(I959="","",IF(I959&lt;=0,"BREACH",IF(I959&lt;=500,"WARNING","OK")))</f>
        <v/>
      </c>
    </row>
    <row r="960">
      <c r="B960" s="7" t="n"/>
      <c r="C960" s="7" t="n"/>
      <c r="D960" s="7">
        <f>IF(OR(B960="",C960=""),"",B960+C960)</f>
        <v/>
      </c>
      <c r="E960" s="7">
        <f>IF(D960="","",MAX($D$2:D960))</f>
        <v/>
      </c>
      <c r="F960" s="7">
        <f>IF(OR(E960="",D960=""),"",E960-D960)</f>
        <v/>
      </c>
      <c r="G960" s="8">
        <f>IF(OR(E960="",F960="",E960=0),"",F960/E960)</f>
        <v/>
      </c>
      <c r="H960" s="7" t="n"/>
      <c r="I960" s="7">
        <f>IF(OR(H960="",F960=""),"",H960-F960)</f>
        <v/>
      </c>
      <c r="J960">
        <f>IF(I960="","",IF(I960&lt;=0,"BREACH",IF(I960&lt;=500,"WARNING","OK")))</f>
        <v/>
      </c>
    </row>
    <row r="961">
      <c r="B961" s="7" t="n"/>
      <c r="C961" s="7" t="n"/>
      <c r="D961" s="7">
        <f>IF(OR(B961="",C961=""),"",B961+C961)</f>
        <v/>
      </c>
      <c r="E961" s="7">
        <f>IF(D961="","",MAX($D$2:D961))</f>
        <v/>
      </c>
      <c r="F961" s="7">
        <f>IF(OR(E961="",D961=""),"",E961-D961)</f>
        <v/>
      </c>
      <c r="G961" s="8">
        <f>IF(OR(E961="",F961="",E961=0),"",F961/E961)</f>
        <v/>
      </c>
      <c r="H961" s="7" t="n"/>
      <c r="I961" s="7">
        <f>IF(OR(H961="",F961=""),"",H961-F961)</f>
        <v/>
      </c>
      <c r="J961">
        <f>IF(I961="","",IF(I961&lt;=0,"BREACH",IF(I961&lt;=500,"WARNING","OK")))</f>
        <v/>
      </c>
    </row>
    <row r="962">
      <c r="B962" s="7" t="n"/>
      <c r="C962" s="7" t="n"/>
      <c r="D962" s="7">
        <f>IF(OR(B962="",C962=""),"",B962+C962)</f>
        <v/>
      </c>
      <c r="E962" s="7">
        <f>IF(D962="","",MAX($D$2:D962))</f>
        <v/>
      </c>
      <c r="F962" s="7">
        <f>IF(OR(E962="",D962=""),"",E962-D962)</f>
        <v/>
      </c>
      <c r="G962" s="8">
        <f>IF(OR(E962="",F962="",E962=0),"",F962/E962)</f>
        <v/>
      </c>
      <c r="H962" s="7" t="n"/>
      <c r="I962" s="7">
        <f>IF(OR(H962="",F962=""),"",H962-F962)</f>
        <v/>
      </c>
      <c r="J962">
        <f>IF(I962="","",IF(I962&lt;=0,"BREACH",IF(I962&lt;=500,"WARNING","OK")))</f>
        <v/>
      </c>
    </row>
    <row r="963">
      <c r="B963" s="7" t="n"/>
      <c r="C963" s="7" t="n"/>
      <c r="D963" s="7">
        <f>IF(OR(B963="",C963=""),"",B963+C963)</f>
        <v/>
      </c>
      <c r="E963" s="7">
        <f>IF(D963="","",MAX($D$2:D963))</f>
        <v/>
      </c>
      <c r="F963" s="7">
        <f>IF(OR(E963="",D963=""),"",E963-D963)</f>
        <v/>
      </c>
      <c r="G963" s="8">
        <f>IF(OR(E963="",F963="",E963=0),"",F963/E963)</f>
        <v/>
      </c>
      <c r="H963" s="7" t="n"/>
      <c r="I963" s="7">
        <f>IF(OR(H963="",F963=""),"",H963-F963)</f>
        <v/>
      </c>
      <c r="J963">
        <f>IF(I963="","",IF(I963&lt;=0,"BREACH",IF(I963&lt;=500,"WARNING","OK")))</f>
        <v/>
      </c>
    </row>
    <row r="964">
      <c r="B964" s="7" t="n"/>
      <c r="C964" s="7" t="n"/>
      <c r="D964" s="7">
        <f>IF(OR(B964="",C964=""),"",B964+C964)</f>
        <v/>
      </c>
      <c r="E964" s="7">
        <f>IF(D964="","",MAX($D$2:D964))</f>
        <v/>
      </c>
      <c r="F964" s="7">
        <f>IF(OR(E964="",D964=""),"",E964-D964)</f>
        <v/>
      </c>
      <c r="G964" s="8">
        <f>IF(OR(E964="",F964="",E964=0),"",F964/E964)</f>
        <v/>
      </c>
      <c r="H964" s="7" t="n"/>
      <c r="I964" s="7">
        <f>IF(OR(H964="",F964=""),"",H964-F964)</f>
        <v/>
      </c>
      <c r="J964">
        <f>IF(I964="","",IF(I964&lt;=0,"BREACH",IF(I964&lt;=500,"WARNING","OK")))</f>
        <v/>
      </c>
    </row>
    <row r="965">
      <c r="B965" s="7" t="n"/>
      <c r="C965" s="7" t="n"/>
      <c r="D965" s="7">
        <f>IF(OR(B965="",C965=""),"",B965+C965)</f>
        <v/>
      </c>
      <c r="E965" s="7">
        <f>IF(D965="","",MAX($D$2:D965))</f>
        <v/>
      </c>
      <c r="F965" s="7">
        <f>IF(OR(E965="",D965=""),"",E965-D965)</f>
        <v/>
      </c>
      <c r="G965" s="8">
        <f>IF(OR(E965="",F965="",E965=0),"",F965/E965)</f>
        <v/>
      </c>
      <c r="H965" s="7" t="n"/>
      <c r="I965" s="7">
        <f>IF(OR(H965="",F965=""),"",H965-F965)</f>
        <v/>
      </c>
      <c r="J965">
        <f>IF(I965="","",IF(I965&lt;=0,"BREACH",IF(I965&lt;=500,"WARNING","OK")))</f>
        <v/>
      </c>
    </row>
    <row r="966">
      <c r="B966" s="7" t="n"/>
      <c r="C966" s="7" t="n"/>
      <c r="D966" s="7">
        <f>IF(OR(B966="",C966=""),"",B966+C966)</f>
        <v/>
      </c>
      <c r="E966" s="7">
        <f>IF(D966="","",MAX($D$2:D966))</f>
        <v/>
      </c>
      <c r="F966" s="7">
        <f>IF(OR(E966="",D966=""),"",E966-D966)</f>
        <v/>
      </c>
      <c r="G966" s="8">
        <f>IF(OR(E966="",F966="",E966=0),"",F966/E966)</f>
        <v/>
      </c>
      <c r="H966" s="7" t="n"/>
      <c r="I966" s="7">
        <f>IF(OR(H966="",F966=""),"",H966-F966)</f>
        <v/>
      </c>
      <c r="J966">
        <f>IF(I966="","",IF(I966&lt;=0,"BREACH",IF(I966&lt;=500,"WARNING","OK")))</f>
        <v/>
      </c>
    </row>
    <row r="967">
      <c r="B967" s="7" t="n"/>
      <c r="C967" s="7" t="n"/>
      <c r="D967" s="7">
        <f>IF(OR(B967="",C967=""),"",B967+C967)</f>
        <v/>
      </c>
      <c r="E967" s="7">
        <f>IF(D967="","",MAX($D$2:D967))</f>
        <v/>
      </c>
      <c r="F967" s="7">
        <f>IF(OR(E967="",D967=""),"",E967-D967)</f>
        <v/>
      </c>
      <c r="G967" s="8">
        <f>IF(OR(E967="",F967="",E967=0),"",F967/E967)</f>
        <v/>
      </c>
      <c r="H967" s="7" t="n"/>
      <c r="I967" s="7">
        <f>IF(OR(H967="",F967=""),"",H967-F967)</f>
        <v/>
      </c>
      <c r="J967">
        <f>IF(I967="","",IF(I967&lt;=0,"BREACH",IF(I967&lt;=500,"WARNING","OK")))</f>
        <v/>
      </c>
    </row>
    <row r="968">
      <c r="B968" s="7" t="n"/>
      <c r="C968" s="7" t="n"/>
      <c r="D968" s="7">
        <f>IF(OR(B968="",C968=""),"",B968+C968)</f>
        <v/>
      </c>
      <c r="E968" s="7">
        <f>IF(D968="","",MAX($D$2:D968))</f>
        <v/>
      </c>
      <c r="F968" s="7">
        <f>IF(OR(E968="",D968=""),"",E968-D968)</f>
        <v/>
      </c>
      <c r="G968" s="8">
        <f>IF(OR(E968="",F968="",E968=0),"",F968/E968)</f>
        <v/>
      </c>
      <c r="H968" s="7" t="n"/>
      <c r="I968" s="7">
        <f>IF(OR(H968="",F968=""),"",H968-F968)</f>
        <v/>
      </c>
      <c r="J968">
        <f>IF(I968="","",IF(I968&lt;=0,"BREACH",IF(I968&lt;=500,"WARNING","OK")))</f>
        <v/>
      </c>
    </row>
    <row r="969">
      <c r="B969" s="7" t="n"/>
      <c r="C969" s="7" t="n"/>
      <c r="D969" s="7">
        <f>IF(OR(B969="",C969=""),"",B969+C969)</f>
        <v/>
      </c>
      <c r="E969" s="7">
        <f>IF(D969="","",MAX($D$2:D969))</f>
        <v/>
      </c>
      <c r="F969" s="7">
        <f>IF(OR(E969="",D969=""),"",E969-D969)</f>
        <v/>
      </c>
      <c r="G969" s="8">
        <f>IF(OR(E969="",F969="",E969=0),"",F969/E969)</f>
        <v/>
      </c>
      <c r="H969" s="7" t="n"/>
      <c r="I969" s="7">
        <f>IF(OR(H969="",F969=""),"",H969-F969)</f>
        <v/>
      </c>
      <c r="J969">
        <f>IF(I969="","",IF(I969&lt;=0,"BREACH",IF(I969&lt;=500,"WARNING","OK")))</f>
        <v/>
      </c>
    </row>
    <row r="970">
      <c r="B970" s="7" t="n"/>
      <c r="C970" s="7" t="n"/>
      <c r="D970" s="7">
        <f>IF(OR(B970="",C970=""),"",B970+C970)</f>
        <v/>
      </c>
      <c r="E970" s="7">
        <f>IF(D970="","",MAX($D$2:D970))</f>
        <v/>
      </c>
      <c r="F970" s="7">
        <f>IF(OR(E970="",D970=""),"",E970-D970)</f>
        <v/>
      </c>
      <c r="G970" s="8">
        <f>IF(OR(E970="",F970="",E970=0),"",F970/E970)</f>
        <v/>
      </c>
      <c r="H970" s="7" t="n"/>
      <c r="I970" s="7">
        <f>IF(OR(H970="",F970=""),"",H970-F970)</f>
        <v/>
      </c>
      <c r="J970">
        <f>IF(I970="","",IF(I970&lt;=0,"BREACH",IF(I970&lt;=500,"WARNING","OK")))</f>
        <v/>
      </c>
    </row>
    <row r="971">
      <c r="B971" s="7" t="n"/>
      <c r="C971" s="7" t="n"/>
      <c r="D971" s="7">
        <f>IF(OR(B971="",C971=""),"",B971+C971)</f>
        <v/>
      </c>
      <c r="E971" s="7">
        <f>IF(D971="","",MAX($D$2:D971))</f>
        <v/>
      </c>
      <c r="F971" s="7">
        <f>IF(OR(E971="",D971=""),"",E971-D971)</f>
        <v/>
      </c>
      <c r="G971" s="8">
        <f>IF(OR(E971="",F971="",E971=0),"",F971/E971)</f>
        <v/>
      </c>
      <c r="H971" s="7" t="n"/>
      <c r="I971" s="7">
        <f>IF(OR(H971="",F971=""),"",H971-F971)</f>
        <v/>
      </c>
      <c r="J971">
        <f>IF(I971="","",IF(I971&lt;=0,"BREACH",IF(I971&lt;=500,"WARNING","OK")))</f>
        <v/>
      </c>
    </row>
    <row r="972">
      <c r="B972" s="7" t="n"/>
      <c r="C972" s="7" t="n"/>
      <c r="D972" s="7">
        <f>IF(OR(B972="",C972=""),"",B972+C972)</f>
        <v/>
      </c>
      <c r="E972" s="7">
        <f>IF(D972="","",MAX($D$2:D972))</f>
        <v/>
      </c>
      <c r="F972" s="7">
        <f>IF(OR(E972="",D972=""),"",E972-D972)</f>
        <v/>
      </c>
      <c r="G972" s="8">
        <f>IF(OR(E972="",F972="",E972=0),"",F972/E972)</f>
        <v/>
      </c>
      <c r="H972" s="7" t="n"/>
      <c r="I972" s="7">
        <f>IF(OR(H972="",F972=""),"",H972-F972)</f>
        <v/>
      </c>
      <c r="J972">
        <f>IF(I972="","",IF(I972&lt;=0,"BREACH",IF(I972&lt;=500,"WARNING","OK")))</f>
        <v/>
      </c>
    </row>
    <row r="973">
      <c r="B973" s="7" t="n"/>
      <c r="C973" s="7" t="n"/>
      <c r="D973" s="7">
        <f>IF(OR(B973="",C973=""),"",B973+C973)</f>
        <v/>
      </c>
      <c r="E973" s="7">
        <f>IF(D973="","",MAX($D$2:D973))</f>
        <v/>
      </c>
      <c r="F973" s="7">
        <f>IF(OR(E973="",D973=""),"",E973-D973)</f>
        <v/>
      </c>
      <c r="G973" s="8">
        <f>IF(OR(E973="",F973="",E973=0),"",F973/E973)</f>
        <v/>
      </c>
      <c r="H973" s="7" t="n"/>
      <c r="I973" s="7">
        <f>IF(OR(H973="",F973=""),"",H973-F973)</f>
        <v/>
      </c>
      <c r="J973">
        <f>IF(I973="","",IF(I973&lt;=0,"BREACH",IF(I973&lt;=500,"WARNING","OK")))</f>
        <v/>
      </c>
    </row>
    <row r="974">
      <c r="B974" s="7" t="n"/>
      <c r="C974" s="7" t="n"/>
      <c r="D974" s="7">
        <f>IF(OR(B974="",C974=""),"",B974+C974)</f>
        <v/>
      </c>
      <c r="E974" s="7">
        <f>IF(D974="","",MAX($D$2:D974))</f>
        <v/>
      </c>
      <c r="F974" s="7">
        <f>IF(OR(E974="",D974=""),"",E974-D974)</f>
        <v/>
      </c>
      <c r="G974" s="8">
        <f>IF(OR(E974="",F974="",E974=0),"",F974/E974)</f>
        <v/>
      </c>
      <c r="H974" s="7" t="n"/>
      <c r="I974" s="7">
        <f>IF(OR(H974="",F974=""),"",H974-F974)</f>
        <v/>
      </c>
      <c r="J974">
        <f>IF(I974="","",IF(I974&lt;=0,"BREACH",IF(I974&lt;=500,"WARNING","OK")))</f>
        <v/>
      </c>
    </row>
    <row r="975">
      <c r="B975" s="7" t="n"/>
      <c r="C975" s="7" t="n"/>
      <c r="D975" s="7">
        <f>IF(OR(B975="",C975=""),"",B975+C975)</f>
        <v/>
      </c>
      <c r="E975" s="7">
        <f>IF(D975="","",MAX($D$2:D975))</f>
        <v/>
      </c>
      <c r="F975" s="7">
        <f>IF(OR(E975="",D975=""),"",E975-D975)</f>
        <v/>
      </c>
      <c r="G975" s="8">
        <f>IF(OR(E975="",F975="",E975=0),"",F975/E975)</f>
        <v/>
      </c>
      <c r="H975" s="7" t="n"/>
      <c r="I975" s="7">
        <f>IF(OR(H975="",F975=""),"",H975-F975)</f>
        <v/>
      </c>
      <c r="J975">
        <f>IF(I975="","",IF(I975&lt;=0,"BREACH",IF(I975&lt;=500,"WARNING","OK")))</f>
        <v/>
      </c>
    </row>
    <row r="976">
      <c r="B976" s="7" t="n"/>
      <c r="C976" s="7" t="n"/>
      <c r="D976" s="7">
        <f>IF(OR(B976="",C976=""),"",B976+C976)</f>
        <v/>
      </c>
      <c r="E976" s="7">
        <f>IF(D976="","",MAX($D$2:D976))</f>
        <v/>
      </c>
      <c r="F976" s="7">
        <f>IF(OR(E976="",D976=""),"",E976-D976)</f>
        <v/>
      </c>
      <c r="G976" s="8">
        <f>IF(OR(E976="",F976="",E976=0),"",F976/E976)</f>
        <v/>
      </c>
      <c r="H976" s="7" t="n"/>
      <c r="I976" s="7">
        <f>IF(OR(H976="",F976=""),"",H976-F976)</f>
        <v/>
      </c>
      <c r="J976">
        <f>IF(I976="","",IF(I976&lt;=0,"BREACH",IF(I976&lt;=500,"WARNING","OK")))</f>
        <v/>
      </c>
    </row>
    <row r="977">
      <c r="B977" s="7" t="n"/>
      <c r="C977" s="7" t="n"/>
      <c r="D977" s="7">
        <f>IF(OR(B977="",C977=""),"",B977+C977)</f>
        <v/>
      </c>
      <c r="E977" s="7">
        <f>IF(D977="","",MAX($D$2:D977))</f>
        <v/>
      </c>
      <c r="F977" s="7">
        <f>IF(OR(E977="",D977=""),"",E977-D977)</f>
        <v/>
      </c>
      <c r="G977" s="8">
        <f>IF(OR(E977="",F977="",E977=0),"",F977/E977)</f>
        <v/>
      </c>
      <c r="H977" s="7" t="n"/>
      <c r="I977" s="7">
        <f>IF(OR(H977="",F977=""),"",H977-F977)</f>
        <v/>
      </c>
      <c r="J977">
        <f>IF(I977="","",IF(I977&lt;=0,"BREACH",IF(I977&lt;=500,"WARNING","OK")))</f>
        <v/>
      </c>
    </row>
    <row r="978">
      <c r="B978" s="7" t="n"/>
      <c r="C978" s="7" t="n"/>
      <c r="D978" s="7">
        <f>IF(OR(B978="",C978=""),"",B978+C978)</f>
        <v/>
      </c>
      <c r="E978" s="7">
        <f>IF(D978="","",MAX($D$2:D978))</f>
        <v/>
      </c>
      <c r="F978" s="7">
        <f>IF(OR(E978="",D978=""),"",E978-D978)</f>
        <v/>
      </c>
      <c r="G978" s="8">
        <f>IF(OR(E978="",F978="",E978=0),"",F978/E978)</f>
        <v/>
      </c>
      <c r="H978" s="7" t="n"/>
      <c r="I978" s="7">
        <f>IF(OR(H978="",F978=""),"",H978-F978)</f>
        <v/>
      </c>
      <c r="J978">
        <f>IF(I978="","",IF(I978&lt;=0,"BREACH",IF(I978&lt;=500,"WARNING","OK")))</f>
        <v/>
      </c>
    </row>
    <row r="979">
      <c r="B979" s="7" t="n"/>
      <c r="C979" s="7" t="n"/>
      <c r="D979" s="7">
        <f>IF(OR(B979="",C979=""),"",B979+C979)</f>
        <v/>
      </c>
      <c r="E979" s="7">
        <f>IF(D979="","",MAX($D$2:D979))</f>
        <v/>
      </c>
      <c r="F979" s="7">
        <f>IF(OR(E979="",D979=""),"",E979-D979)</f>
        <v/>
      </c>
      <c r="G979" s="8">
        <f>IF(OR(E979="",F979="",E979=0),"",F979/E979)</f>
        <v/>
      </c>
      <c r="H979" s="7" t="n"/>
      <c r="I979" s="7">
        <f>IF(OR(H979="",F979=""),"",H979-F979)</f>
        <v/>
      </c>
      <c r="J979">
        <f>IF(I979="","",IF(I979&lt;=0,"BREACH",IF(I979&lt;=500,"WARNING","OK")))</f>
        <v/>
      </c>
    </row>
    <row r="980">
      <c r="B980" s="7" t="n"/>
      <c r="C980" s="7" t="n"/>
      <c r="D980" s="7">
        <f>IF(OR(B980="",C980=""),"",B980+C980)</f>
        <v/>
      </c>
      <c r="E980" s="7">
        <f>IF(D980="","",MAX($D$2:D980))</f>
        <v/>
      </c>
      <c r="F980" s="7">
        <f>IF(OR(E980="",D980=""),"",E980-D980)</f>
        <v/>
      </c>
      <c r="G980" s="8">
        <f>IF(OR(E980="",F980="",E980=0),"",F980/E980)</f>
        <v/>
      </c>
      <c r="H980" s="7" t="n"/>
      <c r="I980" s="7">
        <f>IF(OR(H980="",F980=""),"",H980-F980)</f>
        <v/>
      </c>
      <c r="J980">
        <f>IF(I980="","",IF(I980&lt;=0,"BREACH",IF(I980&lt;=500,"WARNING","OK")))</f>
        <v/>
      </c>
    </row>
    <row r="981">
      <c r="B981" s="7" t="n"/>
      <c r="C981" s="7" t="n"/>
      <c r="D981" s="7">
        <f>IF(OR(B981="",C981=""),"",B981+C981)</f>
        <v/>
      </c>
      <c r="E981" s="7">
        <f>IF(D981="","",MAX($D$2:D981))</f>
        <v/>
      </c>
      <c r="F981" s="7">
        <f>IF(OR(E981="",D981=""),"",E981-D981)</f>
        <v/>
      </c>
      <c r="G981" s="8">
        <f>IF(OR(E981="",F981="",E981=0),"",F981/E981)</f>
        <v/>
      </c>
      <c r="H981" s="7" t="n"/>
      <c r="I981" s="7">
        <f>IF(OR(H981="",F981=""),"",H981-F981)</f>
        <v/>
      </c>
      <c r="J981">
        <f>IF(I981="","",IF(I981&lt;=0,"BREACH",IF(I981&lt;=500,"WARNING","OK")))</f>
        <v/>
      </c>
    </row>
    <row r="982">
      <c r="B982" s="7" t="n"/>
      <c r="C982" s="7" t="n"/>
      <c r="D982" s="7">
        <f>IF(OR(B982="",C982=""),"",B982+C982)</f>
        <v/>
      </c>
      <c r="E982" s="7">
        <f>IF(D982="","",MAX($D$2:D982))</f>
        <v/>
      </c>
      <c r="F982" s="7">
        <f>IF(OR(E982="",D982=""),"",E982-D982)</f>
        <v/>
      </c>
      <c r="G982" s="8">
        <f>IF(OR(E982="",F982="",E982=0),"",F982/E982)</f>
        <v/>
      </c>
      <c r="H982" s="7" t="n"/>
      <c r="I982" s="7">
        <f>IF(OR(H982="",F982=""),"",H982-F982)</f>
        <v/>
      </c>
      <c r="J982">
        <f>IF(I982="","",IF(I982&lt;=0,"BREACH",IF(I982&lt;=500,"WARNING","OK")))</f>
        <v/>
      </c>
    </row>
    <row r="983">
      <c r="B983" s="7" t="n"/>
      <c r="C983" s="7" t="n"/>
      <c r="D983" s="7">
        <f>IF(OR(B983="",C983=""),"",B983+C983)</f>
        <v/>
      </c>
      <c r="E983" s="7">
        <f>IF(D983="","",MAX($D$2:D983))</f>
        <v/>
      </c>
      <c r="F983" s="7">
        <f>IF(OR(E983="",D983=""),"",E983-D983)</f>
        <v/>
      </c>
      <c r="G983" s="8">
        <f>IF(OR(E983="",F983="",E983=0),"",F983/E983)</f>
        <v/>
      </c>
      <c r="H983" s="7" t="n"/>
      <c r="I983" s="7">
        <f>IF(OR(H983="",F983=""),"",H983-F983)</f>
        <v/>
      </c>
      <c r="J983">
        <f>IF(I983="","",IF(I983&lt;=0,"BREACH",IF(I983&lt;=500,"WARNING","OK")))</f>
        <v/>
      </c>
    </row>
    <row r="984">
      <c r="B984" s="7" t="n"/>
      <c r="C984" s="7" t="n"/>
      <c r="D984" s="7">
        <f>IF(OR(B984="",C984=""),"",B984+C984)</f>
        <v/>
      </c>
      <c r="E984" s="7">
        <f>IF(D984="","",MAX($D$2:D984))</f>
        <v/>
      </c>
      <c r="F984" s="7">
        <f>IF(OR(E984="",D984=""),"",E984-D984)</f>
        <v/>
      </c>
      <c r="G984" s="8">
        <f>IF(OR(E984="",F984="",E984=0),"",F984/E984)</f>
        <v/>
      </c>
      <c r="H984" s="7" t="n"/>
      <c r="I984" s="7">
        <f>IF(OR(H984="",F984=""),"",H984-F984)</f>
        <v/>
      </c>
      <c r="J984">
        <f>IF(I984="","",IF(I984&lt;=0,"BREACH",IF(I984&lt;=500,"WARNING","OK")))</f>
        <v/>
      </c>
    </row>
    <row r="985">
      <c r="B985" s="7" t="n"/>
      <c r="C985" s="7" t="n"/>
      <c r="D985" s="7">
        <f>IF(OR(B985="",C985=""),"",B985+C985)</f>
        <v/>
      </c>
      <c r="E985" s="7">
        <f>IF(D985="","",MAX($D$2:D985))</f>
        <v/>
      </c>
      <c r="F985" s="7">
        <f>IF(OR(E985="",D985=""),"",E985-D985)</f>
        <v/>
      </c>
      <c r="G985" s="8">
        <f>IF(OR(E985="",F985="",E985=0),"",F985/E985)</f>
        <v/>
      </c>
      <c r="H985" s="7" t="n"/>
      <c r="I985" s="7">
        <f>IF(OR(H985="",F985=""),"",H985-F985)</f>
        <v/>
      </c>
      <c r="J985">
        <f>IF(I985="","",IF(I985&lt;=0,"BREACH",IF(I985&lt;=500,"WARNING","OK")))</f>
        <v/>
      </c>
    </row>
    <row r="986">
      <c r="B986" s="7" t="n"/>
      <c r="C986" s="7" t="n"/>
      <c r="D986" s="7">
        <f>IF(OR(B986="",C986=""),"",B986+C986)</f>
        <v/>
      </c>
      <c r="E986" s="7">
        <f>IF(D986="","",MAX($D$2:D986))</f>
        <v/>
      </c>
      <c r="F986" s="7">
        <f>IF(OR(E986="",D986=""),"",E986-D986)</f>
        <v/>
      </c>
      <c r="G986" s="8">
        <f>IF(OR(E986="",F986="",E986=0),"",F986/E986)</f>
        <v/>
      </c>
      <c r="H986" s="7" t="n"/>
      <c r="I986" s="7">
        <f>IF(OR(H986="",F986=""),"",H986-F986)</f>
        <v/>
      </c>
      <c r="J986">
        <f>IF(I986="","",IF(I986&lt;=0,"BREACH",IF(I986&lt;=500,"WARNING","OK")))</f>
        <v/>
      </c>
    </row>
    <row r="987">
      <c r="B987" s="7" t="n"/>
      <c r="C987" s="7" t="n"/>
      <c r="D987" s="7">
        <f>IF(OR(B987="",C987=""),"",B987+C987)</f>
        <v/>
      </c>
      <c r="E987" s="7">
        <f>IF(D987="","",MAX($D$2:D987))</f>
        <v/>
      </c>
      <c r="F987" s="7">
        <f>IF(OR(E987="",D987=""),"",E987-D987)</f>
        <v/>
      </c>
      <c r="G987" s="8">
        <f>IF(OR(E987="",F987="",E987=0),"",F987/E987)</f>
        <v/>
      </c>
      <c r="H987" s="7" t="n"/>
      <c r="I987" s="7">
        <f>IF(OR(H987="",F987=""),"",H987-F987)</f>
        <v/>
      </c>
      <c r="J987">
        <f>IF(I987="","",IF(I987&lt;=0,"BREACH",IF(I987&lt;=500,"WARNING","OK")))</f>
        <v/>
      </c>
    </row>
    <row r="988">
      <c r="B988" s="7" t="n"/>
      <c r="C988" s="7" t="n"/>
      <c r="D988" s="7">
        <f>IF(OR(B988="",C988=""),"",B988+C988)</f>
        <v/>
      </c>
      <c r="E988" s="7">
        <f>IF(D988="","",MAX($D$2:D988))</f>
        <v/>
      </c>
      <c r="F988" s="7">
        <f>IF(OR(E988="",D988=""),"",E988-D988)</f>
        <v/>
      </c>
      <c r="G988" s="8">
        <f>IF(OR(E988="",F988="",E988=0),"",F988/E988)</f>
        <v/>
      </c>
      <c r="H988" s="7" t="n"/>
      <c r="I988" s="7">
        <f>IF(OR(H988="",F988=""),"",H988-F988)</f>
        <v/>
      </c>
      <c r="J988">
        <f>IF(I988="","",IF(I988&lt;=0,"BREACH",IF(I988&lt;=500,"WARNING","OK")))</f>
        <v/>
      </c>
    </row>
    <row r="989">
      <c r="B989" s="7" t="n"/>
      <c r="C989" s="7" t="n"/>
      <c r="D989" s="7">
        <f>IF(OR(B989="",C989=""),"",B989+C989)</f>
        <v/>
      </c>
      <c r="E989" s="7">
        <f>IF(D989="","",MAX($D$2:D989))</f>
        <v/>
      </c>
      <c r="F989" s="7">
        <f>IF(OR(E989="",D989=""),"",E989-D989)</f>
        <v/>
      </c>
      <c r="G989" s="8">
        <f>IF(OR(E989="",F989="",E989=0),"",F989/E989)</f>
        <v/>
      </c>
      <c r="H989" s="7" t="n"/>
      <c r="I989" s="7">
        <f>IF(OR(H989="",F989=""),"",H989-F989)</f>
        <v/>
      </c>
      <c r="J989">
        <f>IF(I989="","",IF(I989&lt;=0,"BREACH",IF(I989&lt;=500,"WARNING","OK")))</f>
        <v/>
      </c>
    </row>
    <row r="990">
      <c r="B990" s="7" t="n"/>
      <c r="C990" s="7" t="n"/>
      <c r="D990" s="7">
        <f>IF(OR(B990="",C990=""),"",B990+C990)</f>
        <v/>
      </c>
      <c r="E990" s="7">
        <f>IF(D990="","",MAX($D$2:D990))</f>
        <v/>
      </c>
      <c r="F990" s="7">
        <f>IF(OR(E990="",D990=""),"",E990-D990)</f>
        <v/>
      </c>
      <c r="G990" s="8">
        <f>IF(OR(E990="",F990="",E990=0),"",F990/E990)</f>
        <v/>
      </c>
      <c r="H990" s="7" t="n"/>
      <c r="I990" s="7">
        <f>IF(OR(H990="",F990=""),"",H990-F990)</f>
        <v/>
      </c>
      <c r="J990">
        <f>IF(I990="","",IF(I990&lt;=0,"BREACH",IF(I990&lt;=500,"WARNING","OK")))</f>
        <v/>
      </c>
    </row>
    <row r="991">
      <c r="B991" s="7" t="n"/>
      <c r="C991" s="7" t="n"/>
      <c r="D991" s="7">
        <f>IF(OR(B991="",C991=""),"",B991+C991)</f>
        <v/>
      </c>
      <c r="E991" s="7">
        <f>IF(D991="","",MAX($D$2:D991))</f>
        <v/>
      </c>
      <c r="F991" s="7">
        <f>IF(OR(E991="",D991=""),"",E991-D991)</f>
        <v/>
      </c>
      <c r="G991" s="8">
        <f>IF(OR(E991="",F991="",E991=0),"",F991/E991)</f>
        <v/>
      </c>
      <c r="H991" s="7" t="n"/>
      <c r="I991" s="7">
        <f>IF(OR(H991="",F991=""),"",H991-F991)</f>
        <v/>
      </c>
      <c r="J991">
        <f>IF(I991="","",IF(I991&lt;=0,"BREACH",IF(I991&lt;=500,"WARNING","OK")))</f>
        <v/>
      </c>
    </row>
    <row r="992">
      <c r="B992" s="7" t="n"/>
      <c r="C992" s="7" t="n"/>
      <c r="D992" s="7">
        <f>IF(OR(B992="",C992=""),"",B992+C992)</f>
        <v/>
      </c>
      <c r="E992" s="7">
        <f>IF(D992="","",MAX($D$2:D992))</f>
        <v/>
      </c>
      <c r="F992" s="7">
        <f>IF(OR(E992="",D992=""),"",E992-D992)</f>
        <v/>
      </c>
      <c r="G992" s="8">
        <f>IF(OR(E992="",F992="",E992=0),"",F992/E992)</f>
        <v/>
      </c>
      <c r="H992" s="7" t="n"/>
      <c r="I992" s="7">
        <f>IF(OR(H992="",F992=""),"",H992-F992)</f>
        <v/>
      </c>
      <c r="J992">
        <f>IF(I992="","",IF(I992&lt;=0,"BREACH",IF(I992&lt;=500,"WARNING","OK")))</f>
        <v/>
      </c>
    </row>
    <row r="993">
      <c r="B993" s="7" t="n"/>
      <c r="C993" s="7" t="n"/>
      <c r="D993" s="7">
        <f>IF(OR(B993="",C993=""),"",B993+C993)</f>
        <v/>
      </c>
      <c r="E993" s="7">
        <f>IF(D993="","",MAX($D$2:D993))</f>
        <v/>
      </c>
      <c r="F993" s="7">
        <f>IF(OR(E993="",D993=""),"",E993-D993)</f>
        <v/>
      </c>
      <c r="G993" s="8">
        <f>IF(OR(E993="",F993="",E993=0),"",F993/E993)</f>
        <v/>
      </c>
      <c r="H993" s="7" t="n"/>
      <c r="I993" s="7">
        <f>IF(OR(H993="",F993=""),"",H993-F993)</f>
        <v/>
      </c>
      <c r="J993">
        <f>IF(I993="","",IF(I993&lt;=0,"BREACH",IF(I993&lt;=500,"WARNING","OK")))</f>
        <v/>
      </c>
    </row>
    <row r="994">
      <c r="B994" s="7" t="n"/>
      <c r="C994" s="7" t="n"/>
      <c r="D994" s="7">
        <f>IF(OR(B994="",C994=""),"",B994+C994)</f>
        <v/>
      </c>
      <c r="E994" s="7">
        <f>IF(D994="","",MAX($D$2:D994))</f>
        <v/>
      </c>
      <c r="F994" s="7">
        <f>IF(OR(E994="",D994=""),"",E994-D994)</f>
        <v/>
      </c>
      <c r="G994" s="8">
        <f>IF(OR(E994="",F994="",E994=0),"",F994/E994)</f>
        <v/>
      </c>
      <c r="H994" s="7" t="n"/>
      <c r="I994" s="7">
        <f>IF(OR(H994="",F994=""),"",H994-F994)</f>
        <v/>
      </c>
      <c r="J994">
        <f>IF(I994="","",IF(I994&lt;=0,"BREACH",IF(I994&lt;=500,"WARNING","OK")))</f>
        <v/>
      </c>
    </row>
    <row r="995">
      <c r="B995" s="7" t="n"/>
      <c r="C995" s="7" t="n"/>
      <c r="D995" s="7">
        <f>IF(OR(B995="",C995=""),"",B995+C995)</f>
        <v/>
      </c>
      <c r="E995" s="7">
        <f>IF(D995="","",MAX($D$2:D995))</f>
        <v/>
      </c>
      <c r="F995" s="7">
        <f>IF(OR(E995="",D995=""),"",E995-D995)</f>
        <v/>
      </c>
      <c r="G995" s="8">
        <f>IF(OR(E995="",F995="",E995=0),"",F995/E995)</f>
        <v/>
      </c>
      <c r="H995" s="7" t="n"/>
      <c r="I995" s="7">
        <f>IF(OR(H995="",F995=""),"",H995-F995)</f>
        <v/>
      </c>
      <c r="J995">
        <f>IF(I995="","",IF(I995&lt;=0,"BREACH",IF(I995&lt;=500,"WARNING","OK")))</f>
        <v/>
      </c>
    </row>
    <row r="996">
      <c r="B996" s="7" t="n"/>
      <c r="C996" s="7" t="n"/>
      <c r="D996" s="7">
        <f>IF(OR(B996="",C996=""),"",B996+C996)</f>
        <v/>
      </c>
      <c r="E996" s="7">
        <f>IF(D996="","",MAX($D$2:D996))</f>
        <v/>
      </c>
      <c r="F996" s="7">
        <f>IF(OR(E996="",D996=""),"",E996-D996)</f>
        <v/>
      </c>
      <c r="G996" s="8">
        <f>IF(OR(E996="",F996="",E996=0),"",F996/E996)</f>
        <v/>
      </c>
      <c r="H996" s="7" t="n"/>
      <c r="I996" s="7">
        <f>IF(OR(H996="",F996=""),"",H996-F996)</f>
        <v/>
      </c>
      <c r="J996">
        <f>IF(I996="","",IF(I996&lt;=0,"BREACH",IF(I996&lt;=500,"WARNING","OK")))</f>
        <v/>
      </c>
    </row>
    <row r="997">
      <c r="B997" s="7" t="n"/>
      <c r="C997" s="7" t="n"/>
      <c r="D997" s="7">
        <f>IF(OR(B997="",C997=""),"",B997+C997)</f>
        <v/>
      </c>
      <c r="E997" s="7">
        <f>IF(D997="","",MAX($D$2:D997))</f>
        <v/>
      </c>
      <c r="F997" s="7">
        <f>IF(OR(E997="",D997=""),"",E997-D997)</f>
        <v/>
      </c>
      <c r="G997" s="8">
        <f>IF(OR(E997="",F997="",E997=0),"",F997/E997)</f>
        <v/>
      </c>
      <c r="H997" s="7" t="n"/>
      <c r="I997" s="7">
        <f>IF(OR(H997="",F997=""),"",H997-F997)</f>
        <v/>
      </c>
      <c r="J997">
        <f>IF(I997="","",IF(I997&lt;=0,"BREACH",IF(I997&lt;=500,"WARNING","OK")))</f>
        <v/>
      </c>
    </row>
    <row r="998">
      <c r="B998" s="7" t="n"/>
      <c r="C998" s="7" t="n"/>
      <c r="D998" s="7">
        <f>IF(OR(B998="",C998=""),"",B998+C998)</f>
        <v/>
      </c>
      <c r="E998" s="7">
        <f>IF(D998="","",MAX($D$2:D998))</f>
        <v/>
      </c>
      <c r="F998" s="7">
        <f>IF(OR(E998="",D998=""),"",E998-D998)</f>
        <v/>
      </c>
      <c r="G998" s="8">
        <f>IF(OR(E998="",F998="",E998=0),"",F998/E998)</f>
        <v/>
      </c>
      <c r="H998" s="7" t="n"/>
      <c r="I998" s="7">
        <f>IF(OR(H998="",F998=""),"",H998-F998)</f>
        <v/>
      </c>
      <c r="J998">
        <f>IF(I998="","",IF(I998&lt;=0,"BREACH",IF(I998&lt;=500,"WARNING","OK")))</f>
        <v/>
      </c>
    </row>
    <row r="999">
      <c r="B999" s="7" t="n"/>
      <c r="C999" s="7" t="n"/>
      <c r="D999" s="7">
        <f>IF(OR(B999="",C999=""),"",B999+C999)</f>
        <v/>
      </c>
      <c r="E999" s="7">
        <f>IF(D999="","",MAX($D$2:D999))</f>
        <v/>
      </c>
      <c r="F999" s="7">
        <f>IF(OR(E999="",D999=""),"",E999-D999)</f>
        <v/>
      </c>
      <c r="G999" s="8">
        <f>IF(OR(E999="",F999="",E999=0),"",F999/E999)</f>
        <v/>
      </c>
      <c r="H999" s="7" t="n"/>
      <c r="I999" s="7">
        <f>IF(OR(H999="",F999=""),"",H999-F999)</f>
        <v/>
      </c>
      <c r="J999">
        <f>IF(I999="","",IF(I999&lt;=0,"BREACH",IF(I999&lt;=500,"WARNING","OK")))</f>
        <v/>
      </c>
    </row>
    <row r="1000">
      <c r="B1000" s="7" t="n"/>
      <c r="C1000" s="7" t="n"/>
      <c r="D1000" s="7">
        <f>IF(OR(B1000="",C1000=""),"",B1000+C1000)</f>
        <v/>
      </c>
      <c r="E1000" s="7">
        <f>IF(D1000="","",MAX($D$2:D1000))</f>
        <v/>
      </c>
      <c r="F1000" s="7">
        <f>IF(OR(E1000="",D1000=""),"",E1000-D1000)</f>
        <v/>
      </c>
      <c r="G1000" s="8">
        <f>IF(OR(E1000="",F1000="",E1000=0),"",F1000/E1000)</f>
        <v/>
      </c>
      <c r="H1000" s="7" t="n"/>
      <c r="I1000" s="7">
        <f>IF(OR(H1000="",F1000=""),"",H1000-F1000)</f>
        <v/>
      </c>
      <c r="J1000">
        <f>IF(I1000="","",IF(I1000&lt;=0,"BREACH",IF(I1000&lt;=500,"WARNING","OK")))</f>
        <v/>
      </c>
    </row>
    <row r="1001">
      <c r="B1001" s="7" t="n"/>
      <c r="C1001" s="7" t="n"/>
      <c r="D1001" s="7">
        <f>IF(OR(B1001="",C1001=""),"",B1001+C1001)</f>
        <v/>
      </c>
      <c r="E1001" s="7">
        <f>IF(D1001="","",MAX($D$2:D1001))</f>
        <v/>
      </c>
      <c r="F1001" s="7">
        <f>IF(OR(E1001="",D1001=""),"",E1001-D1001)</f>
        <v/>
      </c>
      <c r="G1001" s="8">
        <f>IF(OR(E1001="",F1001="",E1001=0),"",F1001/E1001)</f>
        <v/>
      </c>
      <c r="H1001" s="7" t="n"/>
      <c r="I1001" s="7">
        <f>IF(OR(H1001="",F1001=""),"",H1001-F1001)</f>
        <v/>
      </c>
      <c r="J1001">
        <f>IF(I1001="","",IF(I1001&lt;=0,"BREACH",IF(I1001&lt;=500,"WARNING","OK")))</f>
        <v/>
      </c>
    </row>
  </sheetData>
  <autoFilter ref="A1:K1000"/>
  <conditionalFormatting sqref="J2:J1001">
    <cfRule type="expression" priority="1" dxfId="1">
      <formula>$J2="BREACH"</formula>
    </cfRule>
    <cfRule type="expression" priority="2" dxfId="4">
      <formula>$J2="WARNING"</formula>
    </cfRule>
    <cfRule type="expression" priority="3" dxfId="0">
      <formula>$J2="OK"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8"/>
  <sheetViews>
    <sheetView workbookViewId="0">
      <selection activeCell="A1" sqref="A1"/>
    </sheetView>
  </sheetViews>
  <sheetFormatPr baseColWidth="8" defaultColWidth="12.63" defaultRowHeight="15.75" customHeight="1"/>
  <cols>
    <col width="22" customWidth="1" style="3" min="1" max="1"/>
    <col width="22" customWidth="1" style="3" min="2" max="2"/>
    <col width="22" customWidth="1" style="3" min="3" max="3"/>
    <col width="22" customWidth="1" style="3" min="4" max="4"/>
    <col width="22" customWidth="1" style="3" min="5" max="5"/>
  </cols>
  <sheetData>
    <row r="1">
      <c r="A1" s="9" t="inlineStr">
        <is>
          <t>Vanquish Trading Journal Dashboard</t>
        </is>
      </c>
    </row>
    <row r="3">
      <c r="A3" s="10" t="inlineStr">
        <is>
          <t>Total Trades</t>
        </is>
      </c>
      <c r="B3">
        <f>COUNTA(Trades!A2:A1001)</f>
        <v/>
      </c>
      <c r="D3" s="10" t="inlineStr">
        <is>
          <t>Best Trade</t>
        </is>
      </c>
      <c r="E3" s="7">
        <f>MAX(Trades!M2:M1001)</f>
        <v/>
      </c>
    </row>
    <row r="4">
      <c r="A4" s="10" t="inlineStr">
        <is>
          <t>Net P/L</t>
        </is>
      </c>
      <c r="B4" s="7">
        <f>SUM(Trades!M2:M1001)</f>
        <v/>
      </c>
      <c r="D4" s="10" t="inlineStr">
        <is>
          <t>Worst Trade</t>
        </is>
      </c>
      <c r="E4" s="7">
        <f>MIN(Trades!M2:M1001)</f>
        <v/>
      </c>
    </row>
    <row r="5">
      <c r="A5" s="10" t="inlineStr">
        <is>
          <t>Win Rate</t>
        </is>
      </c>
      <c r="B5" s="8">
        <f>IFERROR(COUNTIF(Trades!O2:O1001,"Win")/COUNTIF(Trades!O2:O1001,"&lt;&gt;"),0)</f>
        <v/>
      </c>
      <c r="D5" s="10" t="inlineStr">
        <is>
          <t>Avg R</t>
        </is>
      </c>
      <c r="E5" s="6">
        <f>IFERROR(AVERAGE(Trades!N2:N1001),0)</f>
        <v/>
      </c>
    </row>
    <row r="6">
      <c r="A6" s="10" t="inlineStr">
        <is>
          <t>Average Winner</t>
        </is>
      </c>
      <c r="B6" s="7">
        <f>IFERROR(AVERAGEIF(Trades!M2:M1001,"&gt;0",Trades!M2:M1001),0)</f>
        <v/>
      </c>
      <c r="D6" s="10" t="inlineStr">
        <is>
          <t>Rule Follow %</t>
        </is>
      </c>
      <c r="E6" s="8">
        <f>IFERROR(COUNTIF(Trades!Q2:Q1001,"Yes")/COUNTIF(Trades!Q2:Q1001,"&lt;&gt;"),0)</f>
        <v/>
      </c>
    </row>
    <row r="7">
      <c r="A7" s="10" t="inlineStr">
        <is>
          <t>Average Loser</t>
        </is>
      </c>
      <c r="B7" s="7">
        <f>IFERROR(AVERAGEIF(Trades!M2:M1001,"&lt;0",Trades!M2:M1001),0)</f>
        <v/>
      </c>
      <c r="D7" s="10" t="inlineStr">
        <is>
          <t>A+ Setup %</t>
        </is>
      </c>
      <c r="E7" s="8">
        <f>IFERROR(COUNTIF(Trades!T2:T1001,"Yes")/COUNTIF(Trades!T2:T1001,"&lt;&gt;"),0)</f>
        <v/>
      </c>
    </row>
    <row r="8">
      <c r="A8" s="10" t="inlineStr">
        <is>
          <t>Expectancy / Trade</t>
        </is>
      </c>
      <c r="B8" s="7">
        <f>IFERROR(AVERAGE(Trades!M2:M1001),0)</f>
        <v/>
      </c>
      <c r="D8" s="10" t="inlineStr">
        <is>
          <t>Current Drawdown</t>
        </is>
      </c>
      <c r="E8" s="7">
        <f>IFERROR(MAX(Account!F2:F1001),0)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4"/>
  <sheetViews>
    <sheetView workbookViewId="0">
      <selection activeCell="A1" sqref="A1"/>
    </sheetView>
  </sheetViews>
  <sheetFormatPr baseColWidth="8" defaultColWidth="12.63" defaultRowHeight="15.75" customHeight="1"/>
  <cols>
    <col width="22" customWidth="1" style="3" min="1" max="1"/>
    <col width="12" customWidth="1" style="3" min="2" max="2"/>
    <col width="12" customWidth="1" style="3" min="3" max="3"/>
    <col width="28" customWidth="1" style="3" min="4" max="4"/>
    <col width="22" customWidth="1" style="3" min="5" max="5"/>
    <col width="22" customWidth="1" style="3" min="6" max="6"/>
    <col width="22" customWidth="1" style="3" min="7" max="7"/>
    <col width="22" customWidth="1" style="3" min="8" max="8"/>
    <col width="22" customWidth="1" style="3" min="9" max="9"/>
    <col width="24" customWidth="1" style="3" min="10" max="10"/>
  </cols>
  <sheetData>
    <row r="1">
      <c r="A1" s="4" t="inlineStr">
        <is>
          <t>Setup Name</t>
        </is>
      </c>
      <c r="B1" s="4" t="inlineStr">
        <is>
          <t>Market</t>
        </is>
      </c>
      <c r="C1" s="4" t="inlineStr">
        <is>
          <t>Timeframe</t>
        </is>
      </c>
      <c r="D1" s="4" t="inlineStr">
        <is>
          <t>Entry Criteria</t>
        </is>
      </c>
      <c r="E1" s="4" t="inlineStr">
        <is>
          <t>Stop Logic</t>
        </is>
      </c>
      <c r="F1" s="4" t="inlineStr">
        <is>
          <t>Target Logic</t>
        </is>
      </c>
      <c r="G1" s="4" t="inlineStr">
        <is>
          <t>Invalidation</t>
        </is>
      </c>
      <c r="H1" s="4" t="inlineStr">
        <is>
          <t>Ideal Conditions</t>
        </is>
      </c>
      <c r="I1" s="4" t="inlineStr">
        <is>
          <t>Common Mistakes</t>
        </is>
      </c>
      <c r="J1" s="4" t="inlineStr">
        <is>
          <t>Notes</t>
        </is>
      </c>
    </row>
    <row r="2">
      <c r="A2" t="inlineStr">
        <is>
          <t>Opening Range Breakout</t>
        </is>
      </c>
      <c r="B2" t="inlineStr">
        <is>
          <t>NQ</t>
        </is>
      </c>
      <c r="C2" t="inlineStr">
        <is>
          <t>1m/5m</t>
        </is>
      </c>
      <c r="D2" t="inlineStr">
        <is>
          <t>Break and hold of opening range with volume</t>
        </is>
      </c>
      <c r="E2" t="inlineStr">
        <is>
          <t>Below OR low / above OR high</t>
        </is>
      </c>
      <c r="F2" t="inlineStr">
        <is>
          <t>2R or key level extension</t>
        </is>
      </c>
      <c r="G2" t="inlineStr">
        <is>
          <t>Back inside range</t>
        </is>
      </c>
      <c r="H2" t="inlineStr">
        <is>
          <t>Trend day, strong breadth</t>
        </is>
      </c>
      <c r="I2" t="inlineStr">
        <is>
          <t>Chasing extended candle</t>
        </is>
      </c>
      <c r="J2" t="inlineStr"/>
    </row>
    <row r="3">
      <c r="A3" t="inlineStr">
        <is>
          <t>VWAP Reclaim</t>
        </is>
      </c>
      <c r="B3" t="inlineStr">
        <is>
          <t>ES</t>
        </is>
      </c>
      <c r="C3" t="inlineStr">
        <is>
          <t>1m/5m</t>
        </is>
      </c>
      <c r="D3" t="inlineStr">
        <is>
          <t>Reclaim VWAP after failed breakdown</t>
        </is>
      </c>
      <c r="E3" t="inlineStr">
        <is>
          <t>Below reclaim candle low</t>
        </is>
      </c>
      <c r="F3" t="inlineStr">
        <is>
          <t>Prior high / 2R</t>
        </is>
      </c>
      <c r="G3" t="inlineStr">
        <is>
          <t>Lose VWAP immediately</t>
        </is>
      </c>
      <c r="H3" t="inlineStr">
        <is>
          <t>Balanced to bullish session</t>
        </is>
      </c>
      <c r="I3" t="inlineStr">
        <is>
          <t>Taking it in chop</t>
        </is>
      </c>
      <c r="J3" t="inlineStr"/>
    </row>
    <row r="4">
      <c r="A4" t="inlineStr">
        <is>
          <t>Failed Breakdown Reversal</t>
        </is>
      </c>
      <c r="B4" t="inlineStr">
        <is>
          <t>GC</t>
        </is>
      </c>
      <c r="C4" t="inlineStr">
        <is>
          <t>5m</t>
        </is>
      </c>
      <c r="D4" t="inlineStr">
        <is>
          <t>Sweep prior low and reclaim</t>
        </is>
      </c>
      <c r="E4" t="inlineStr">
        <is>
          <t>Below sweep low</t>
        </is>
      </c>
      <c r="F4" t="inlineStr">
        <is>
          <t>Midrange then opposite side</t>
        </is>
      </c>
      <c r="G4" t="inlineStr">
        <is>
          <t>Acceptance below low</t>
        </is>
      </c>
      <c r="H4" t="inlineStr">
        <is>
          <t>Range day, seller exhaustion</t>
        </is>
      </c>
      <c r="I4" t="inlineStr">
        <is>
          <t>Entering before reclaim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2026-05-08T18:35:38Z</dcterms:created>
  <dcterms:modified xsi:type="dcterms:W3CDTF">2026-05-08T18:35:38Z</dcterms:modified>
</cp:coreProperties>
</file>